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ownd\Downloads\Project Kayali Commercial Analyst\"/>
    </mc:Choice>
  </mc:AlternateContent>
  <xr:revisionPtr revIDLastSave="0" documentId="13_ncr:1_{BF950EA4-6F9F-492E-A6AC-DA5E02204A7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icing_Dat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</calcChain>
</file>

<file path=xl/sharedStrings.xml><?xml version="1.0" encoding="utf-8"?>
<sst xmlns="http://schemas.openxmlformats.org/spreadsheetml/2006/main" count="197" uniqueCount="75">
  <si>
    <t>Brand</t>
  </si>
  <si>
    <t>Fragrance_Name</t>
  </si>
  <si>
    <t>Collection</t>
  </si>
  <si>
    <t>Type</t>
  </si>
  <si>
    <t>Size_ml</t>
  </si>
  <si>
    <t>On_Promotion</t>
  </si>
  <si>
    <t>Date_Collected</t>
  </si>
  <si>
    <t>Notes</t>
  </si>
  <si>
    <t>Kayali</t>
  </si>
  <si>
    <t>Vanilla 28</t>
  </si>
  <si>
    <t>Eden Juicy Apple 01</t>
  </si>
  <si>
    <t>Yum Pistachio Gelato 33</t>
  </si>
  <si>
    <t>Freedom Musk Santal 34</t>
  </si>
  <si>
    <t>Musk 12</t>
  </si>
  <si>
    <t>Eden collection</t>
  </si>
  <si>
    <t>Oudgasm collection</t>
  </si>
  <si>
    <t>Yum collection</t>
  </si>
  <si>
    <t>Freedom collection</t>
  </si>
  <si>
    <t>Vanilla collection</t>
  </si>
  <si>
    <t>50ml</t>
  </si>
  <si>
    <t>No</t>
  </si>
  <si>
    <t>Oudgasm Tobacco Oud 04</t>
  </si>
  <si>
    <t>Price_own_USD</t>
  </si>
  <si>
    <t>Price_own_GBP</t>
  </si>
  <si>
    <t>Price_own_AED</t>
  </si>
  <si>
    <t>NA</t>
  </si>
  <si>
    <t>Price_Gap_USD</t>
  </si>
  <si>
    <t>Price_Gap_UAE</t>
  </si>
  <si>
    <t>Price_Gap_GBP</t>
  </si>
  <si>
    <t>Jo Malone</t>
  </si>
  <si>
    <t>English Pear &amp; Freesia</t>
  </si>
  <si>
    <t>Myrrh &amp; Tonka</t>
  </si>
  <si>
    <t>Maison Margiela Replica</t>
  </si>
  <si>
    <t>By the Fireplace</t>
  </si>
  <si>
    <t>Jazz Club</t>
  </si>
  <si>
    <t>Byredo</t>
  </si>
  <si>
    <t>Mojave Ghost</t>
  </si>
  <si>
    <t>Gypsy Water</t>
  </si>
  <si>
    <t>Lattafa</t>
  </si>
  <si>
    <t>Khamrah</t>
  </si>
  <si>
    <t>Yara</t>
  </si>
  <si>
    <t>Ajmal</t>
  </si>
  <si>
    <t>Amber Wood</t>
  </si>
  <si>
    <t>Le Labo</t>
  </si>
  <si>
    <t>Santal 33</t>
  </si>
  <si>
    <t>Another 13</t>
  </si>
  <si>
    <t>Competitor</t>
  </si>
  <si>
    <t>50 ml</t>
  </si>
  <si>
    <t>Retailer_Name_USD</t>
  </si>
  <si>
    <t>Sephora</t>
  </si>
  <si>
    <t>Retailer_Name_GBP</t>
  </si>
  <si>
    <t>John Lewis</t>
  </si>
  <si>
    <t>Retailer_Name_UAE</t>
  </si>
  <si>
    <t>Cologne</t>
  </si>
  <si>
    <t>Cologne Intense</t>
  </si>
  <si>
    <t>Replica Collection</t>
  </si>
  <si>
    <t>Classic Collection</t>
  </si>
  <si>
    <t>W Series</t>
  </si>
  <si>
    <t>100 ml</t>
  </si>
  <si>
    <t>Yes for GBP</t>
  </si>
  <si>
    <t>Ounass</t>
  </si>
  <si>
    <t>Byredo does not have its official website in the UAE, so Ounass data is taken as a proxy for their own website</t>
  </si>
  <si>
    <t>Amazon US</t>
  </si>
  <si>
    <t>100ml</t>
  </si>
  <si>
    <t>Namshi</t>
  </si>
  <si>
    <t>Yes for AED, retailer by Namshi</t>
  </si>
  <si>
    <t>ELECTRIC OUD</t>
  </si>
  <si>
    <t>This one's website exclusive</t>
  </si>
  <si>
    <t>Yes for AED, retailer by Namshi , us own website</t>
  </si>
  <si>
    <t>Price_retailer_USD</t>
  </si>
  <si>
    <t>Yes on Amazon UK</t>
  </si>
  <si>
    <t>Amazon UK</t>
  </si>
  <si>
    <t>Taking Ounass's data directly for the own website as it was showing in Euro's even after changing the location; USD for retailer is na because only travel size was available</t>
  </si>
  <si>
    <t>Price_Retailer_UAE</t>
  </si>
  <si>
    <t>Price_Retailer_GBP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</si>
</sst>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B2826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right"/>
    </xf>
    <xf numFmtId="0" fontId="0" fillId="0" borderId="1" xfId="0" applyFont="1" applyBorder="1" applyAlignment="1">
      <alignment horizontal="right"/>
    </xf>
  </cellXfs>
  <cellStyles count="1">
    <cellStyle name="Normal" xfId="0" builtinId="0"/>
  </cellStyles>
  <dxfs count="10"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90C44E-858D-4C8D-8DB2-EC733165BCF6}" name="Table1" displayName="Table1" ref="A1:T19" totalsRowShown="0" headerRowDxfId="9">
  <autoFilter ref="A1:T19" xr:uid="{3490C44E-858D-4C8D-8DB2-EC733165BCF6}"/>
  <tableColumns count="20">
    <tableColumn id="1" xr3:uid="{13FB79CE-B1D8-4DCD-907D-971336A83946}" name="Brand"/>
    <tableColumn id="2" xr3:uid="{F3544486-0AC1-449D-8D1E-4139FDB3B984}" name="Fragrance_Name"/>
    <tableColumn id="3" xr3:uid="{6F8DE00F-B63C-405E-909C-4B067004261F}" name="Collection"/>
    <tableColumn id="4" xr3:uid="{99DEC4FA-B29C-4DEA-B864-3E169E093AEB}" name="Type"/>
    <tableColumn id="5" xr3:uid="{062D11D4-3E0C-4815-868E-CC4ABA0CBAED}" name="Size_ml"/>
    <tableColumn id="6" xr3:uid="{BF2B2371-96C5-42CA-8067-DA1074320300}" name="Price_own_USD" dataDxfId="8"/>
    <tableColumn id="7" xr3:uid="{F9271E09-ED8B-483A-944B-E6B829D01F88}" name="Price_retailer_USD" dataDxfId="7"/>
    <tableColumn id="8" xr3:uid="{55F86CCE-0FE9-4D38-B74A-4A1726C90A19}" name="Price_Gap_USD" dataDxfId="2">
      <calculatedColumnFormula>IF(OR(Table1[[#This Row],[Price_own_USD]]="NA",Table1[[#This Row],[Price_retailer_USD]]="NA"),"NA",Table1[[#This Row],[Price_own_USD]]-Table1[[#This Row],[Price_retailer_USD]])</calculatedColumnFormula>
    </tableColumn>
    <tableColumn id="9" xr3:uid="{C2AFC58E-67C5-4615-AF41-40A89E256730}" name="Retailer_Name_USD"/>
    <tableColumn id="10" xr3:uid="{B1F26A8F-8B88-4BE3-8D11-762E51EA934B}" name="Price_own_GBP" dataDxfId="6"/>
    <tableColumn id="11" xr3:uid="{58FC934E-0A69-448D-9813-B16AD3B84159}" name="Price_Retailer_GBP" dataDxfId="5"/>
    <tableColumn id="12" xr3:uid="{03D76231-6B9B-4E8E-BC72-F499B60D4F84}" name="Price_Gap_GBP" dataDxfId="1">
      <calculatedColumnFormula>IF(OR(Table1[[#This Row],[Price_own_GBP]]="NA",Table1[[#This Row],[Price_Retailer_GBP]]="NA"),"NA",Table1[[#This Row],[Price_own_GBP]]-Table1[[#This Row],[Price_Retailer_GBP]])</calculatedColumnFormula>
    </tableColumn>
    <tableColumn id="13" xr3:uid="{6B889833-12F3-4427-851E-1994C717BC3B}" name="Retailer_Name_GBP"/>
    <tableColumn id="14" xr3:uid="{36881EA5-C4FB-4A1B-A36A-0CDD0A6219E0}" name="Price_own_AED" dataDxfId="4"/>
    <tableColumn id="15" xr3:uid="{C682D547-8B27-4CB6-8ED7-6099A3B7765E}" name="Price_Retailer_UAE" dataDxfId="3"/>
    <tableColumn id="16" xr3:uid="{F1614EB7-D708-43AE-A3E4-2B8A587F70EB}" name="Price_Gap_UAE" dataDxfId="0">
      <calculatedColumnFormula>IF(OR(Table1[[#This Row],[Price_own_AED]]="NA",Table1[[#This Row],[Price_Retailer_UAE]]="NA"),"NA",Table1[[#This Row],[Price_own_AED]]-Table1[[#This Row],[Price_Retailer_UAE]])</calculatedColumnFormula>
    </tableColumn>
    <tableColumn id="17" xr3:uid="{46BD5821-CE10-4E3B-9D07-7CE029FCD3E7}" name="Retailer_Name_UAE"/>
    <tableColumn id="18" xr3:uid="{52C39325-C172-447C-A00E-EE48D312D12F}" name="On_Promotion"/>
    <tableColumn id="19" xr3:uid="{0A0A53DD-81B2-43D7-B8C1-60B61F44B0E2}" name="Date_Collected"/>
    <tableColumn id="21" xr3:uid="{6F00D9FE-D5B2-498C-ADCD-ACE35D47A4B4}" name="Note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"/>
  <sheetViews>
    <sheetView tabSelected="1" workbookViewId="0">
      <selection activeCell="E25" sqref="E25"/>
    </sheetView>
  </sheetViews>
  <sheetFormatPr defaultRowHeight="14.4" x14ac:dyDescent="0.3"/>
  <cols>
    <col min="1" max="1" width="21.109375" bestFit="1" customWidth="1"/>
    <col min="2" max="2" width="24" customWidth="1"/>
    <col min="3" max="3" width="19.5546875" customWidth="1"/>
    <col min="4" max="4" width="12" customWidth="1"/>
    <col min="5" max="5" width="12.5546875" customWidth="1"/>
    <col min="6" max="6" width="22.77734375" customWidth="1"/>
    <col min="7" max="7" width="27.44140625" customWidth="1"/>
    <col min="8" max="8" width="22.21875" customWidth="1"/>
    <col min="9" max="9" width="28.44140625" customWidth="1"/>
    <col min="10" max="10" width="22.5546875" customWidth="1"/>
    <col min="11" max="11" width="28.5546875" customWidth="1"/>
    <col min="12" max="12" width="22" customWidth="1"/>
    <col min="13" max="13" width="28.21875" customWidth="1"/>
    <col min="14" max="14" width="22.5546875" customWidth="1"/>
    <col min="15" max="15" width="27.5546875" customWidth="1"/>
    <col min="16" max="16" width="22.109375" customWidth="1"/>
    <col min="17" max="17" width="28.33203125" customWidth="1"/>
    <col min="18" max="18" width="21.33203125" customWidth="1"/>
    <col min="19" max="19" width="21.88671875" customWidth="1"/>
    <col min="20" max="20" width="10.33203125" customWidth="1"/>
  </cols>
  <sheetData>
    <row r="1" spans="1:20" ht="2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22</v>
      </c>
      <c r="G1" s="1" t="s">
        <v>69</v>
      </c>
      <c r="H1" s="1" t="s">
        <v>26</v>
      </c>
      <c r="I1" s="1" t="s">
        <v>48</v>
      </c>
      <c r="J1" s="1" t="s">
        <v>23</v>
      </c>
      <c r="K1" s="1" t="s">
        <v>74</v>
      </c>
      <c r="L1" s="1" t="s">
        <v>28</v>
      </c>
      <c r="M1" s="1" t="s">
        <v>50</v>
      </c>
      <c r="N1" s="1" t="s">
        <v>24</v>
      </c>
      <c r="O1" s="1" t="s">
        <v>73</v>
      </c>
      <c r="P1" s="1" t="s">
        <v>27</v>
      </c>
      <c r="Q1" s="1" t="s">
        <v>52</v>
      </c>
      <c r="R1" s="1" t="s">
        <v>5</v>
      </c>
      <c r="S1" s="1" t="s">
        <v>6</v>
      </c>
      <c r="T1" s="1" t="s">
        <v>7</v>
      </c>
    </row>
    <row r="2" spans="1:20" x14ac:dyDescent="0.3">
      <c r="A2" t="s">
        <v>8</v>
      </c>
      <c r="B2" t="s">
        <v>9</v>
      </c>
      <c r="C2" t="s">
        <v>18</v>
      </c>
      <c r="D2" t="s">
        <v>8</v>
      </c>
      <c r="E2" t="s">
        <v>19</v>
      </c>
      <c r="F2" s="4">
        <v>105</v>
      </c>
      <c r="G2" s="4">
        <v>105</v>
      </c>
      <c r="H2" s="4">
        <f>IF(OR(Table1[[#This Row],[Price_own_USD]]="NA",Table1[[#This Row],[Price_retailer_USD]]="NA"),"NA",Table1[[#This Row],[Price_own_USD]]-Table1[[#This Row],[Price_retailer_USD]])</f>
        <v>0</v>
      </c>
      <c r="I2" t="s">
        <v>49</v>
      </c>
      <c r="J2" s="4">
        <v>80</v>
      </c>
      <c r="K2" s="4">
        <v>80</v>
      </c>
      <c r="L2" s="4">
        <f>IF(OR(Table1[[#This Row],[Price_own_GBP]]="NA",Table1[[#This Row],[Price_Retailer_GBP]]="NA"),"NA",Table1[[#This Row],[Price_own_GBP]]-Table1[[#This Row],[Price_Retailer_GBP]])</f>
        <v>0</v>
      </c>
      <c r="M2" t="s">
        <v>49</v>
      </c>
      <c r="N2" s="4">
        <v>420</v>
      </c>
      <c r="O2" s="4">
        <v>420</v>
      </c>
      <c r="P2" s="4">
        <f>IF(OR(Table1[[#This Row],[Price_own_AED]]="NA",Table1[[#This Row],[Price_Retailer_UAE]]="NA"),"NA",Table1[[#This Row],[Price_own_AED]]-Table1[[#This Row],[Price_Retailer_UAE]])</f>
        <v>0</v>
      </c>
      <c r="Q2" t="s">
        <v>49</v>
      </c>
      <c r="R2" t="s">
        <v>20</v>
      </c>
      <c r="S2" s="2">
        <v>46132</v>
      </c>
    </row>
    <row r="3" spans="1:20" x14ac:dyDescent="0.3">
      <c r="A3" t="s">
        <v>8</v>
      </c>
      <c r="B3" t="s">
        <v>10</v>
      </c>
      <c r="C3" t="s">
        <v>14</v>
      </c>
      <c r="D3" t="s">
        <v>8</v>
      </c>
      <c r="E3" t="s">
        <v>19</v>
      </c>
      <c r="F3" s="4">
        <v>105</v>
      </c>
      <c r="G3" s="4">
        <v>105</v>
      </c>
      <c r="H3" s="4">
        <f>IF(OR(Table1[[#This Row],[Price_own_USD]]="NA",Table1[[#This Row],[Price_retailer_USD]]="NA"),"NA",Table1[[#This Row],[Price_own_USD]]-Table1[[#This Row],[Price_retailer_USD]])</f>
        <v>0</v>
      </c>
      <c r="I3" t="s">
        <v>49</v>
      </c>
      <c r="J3" s="4">
        <v>80</v>
      </c>
      <c r="K3" s="4">
        <v>80</v>
      </c>
      <c r="L3" s="4">
        <f>IF(OR(Table1[[#This Row],[Price_own_GBP]]="NA",Table1[[#This Row],[Price_Retailer_GBP]]="NA"),"NA",Table1[[#This Row],[Price_own_GBP]]-Table1[[#This Row],[Price_Retailer_GBP]])</f>
        <v>0</v>
      </c>
      <c r="M3" t="s">
        <v>49</v>
      </c>
      <c r="N3" s="4">
        <v>420</v>
      </c>
      <c r="O3" s="4">
        <v>420</v>
      </c>
      <c r="P3" s="4">
        <f>IF(OR(Table1[[#This Row],[Price_own_AED]]="NA",Table1[[#This Row],[Price_Retailer_UAE]]="NA"),"NA",Table1[[#This Row],[Price_own_AED]]-Table1[[#This Row],[Price_Retailer_UAE]])</f>
        <v>0</v>
      </c>
      <c r="Q3" t="s">
        <v>49</v>
      </c>
      <c r="R3" t="s">
        <v>20</v>
      </c>
      <c r="S3" s="2">
        <v>46132</v>
      </c>
    </row>
    <row r="4" spans="1:20" x14ac:dyDescent="0.3">
      <c r="A4" t="s">
        <v>8</v>
      </c>
      <c r="B4" t="s">
        <v>21</v>
      </c>
      <c r="C4" t="s">
        <v>15</v>
      </c>
      <c r="D4" t="s">
        <v>8</v>
      </c>
      <c r="E4" t="s">
        <v>19</v>
      </c>
      <c r="F4" s="4">
        <v>140</v>
      </c>
      <c r="G4" s="4">
        <v>119</v>
      </c>
      <c r="H4" s="4">
        <f>IF(OR(Table1[[#This Row],[Price_own_USD]]="NA",Table1[[#This Row],[Price_retailer_USD]]="NA"),"NA",Table1[[#This Row],[Price_own_USD]]-Table1[[#This Row],[Price_retailer_USD]])</f>
        <v>21</v>
      </c>
      <c r="I4" t="s">
        <v>49</v>
      </c>
      <c r="J4" s="4">
        <v>119</v>
      </c>
      <c r="K4" s="4">
        <v>119</v>
      </c>
      <c r="L4" s="4">
        <f>IF(OR(Table1[[#This Row],[Price_own_GBP]]="NA",Table1[[#This Row],[Price_Retailer_GBP]]="NA"),"NA",Table1[[#This Row],[Price_own_GBP]]-Table1[[#This Row],[Price_Retailer_GBP]])</f>
        <v>0</v>
      </c>
      <c r="M4" t="s">
        <v>49</v>
      </c>
      <c r="N4" s="4">
        <v>551</v>
      </c>
      <c r="O4" s="4">
        <v>551</v>
      </c>
      <c r="P4" s="4">
        <f>IF(OR(Table1[[#This Row],[Price_own_AED]]="NA",Table1[[#This Row],[Price_Retailer_UAE]]="NA"),"NA",Table1[[#This Row],[Price_own_AED]]-Table1[[#This Row],[Price_Retailer_UAE]])</f>
        <v>0</v>
      </c>
      <c r="Q4" t="s">
        <v>49</v>
      </c>
      <c r="R4" t="s">
        <v>20</v>
      </c>
      <c r="S4" s="2">
        <v>46132</v>
      </c>
    </row>
    <row r="5" spans="1:20" x14ac:dyDescent="0.3">
      <c r="A5" t="s">
        <v>8</v>
      </c>
      <c r="B5" t="s">
        <v>11</v>
      </c>
      <c r="C5" t="s">
        <v>16</v>
      </c>
      <c r="D5" t="s">
        <v>8</v>
      </c>
      <c r="E5" t="s">
        <v>19</v>
      </c>
      <c r="F5" s="4">
        <v>105</v>
      </c>
      <c r="G5" s="4">
        <v>105</v>
      </c>
      <c r="H5" s="4">
        <f>IF(OR(Table1[[#This Row],[Price_own_USD]]="NA",Table1[[#This Row],[Price_retailer_USD]]="NA"),"NA",Table1[[#This Row],[Price_own_USD]]-Table1[[#This Row],[Price_retailer_USD]])</f>
        <v>0</v>
      </c>
      <c r="I5" t="s">
        <v>49</v>
      </c>
      <c r="J5" s="4">
        <v>80</v>
      </c>
      <c r="K5" s="4">
        <v>80</v>
      </c>
      <c r="L5" s="4">
        <f>IF(OR(Table1[[#This Row],[Price_own_GBP]]="NA",Table1[[#This Row],[Price_Retailer_GBP]]="NA"),"NA",Table1[[#This Row],[Price_own_GBP]]-Table1[[#This Row],[Price_Retailer_GBP]])</f>
        <v>0</v>
      </c>
      <c r="M5" t="s">
        <v>49</v>
      </c>
      <c r="N5" s="4">
        <v>420</v>
      </c>
      <c r="O5" s="4">
        <v>420</v>
      </c>
      <c r="P5" s="4">
        <f>IF(OR(Table1[[#This Row],[Price_own_AED]]="NA",Table1[[#This Row],[Price_Retailer_UAE]]="NA"),"NA",Table1[[#This Row],[Price_own_AED]]-Table1[[#This Row],[Price_Retailer_UAE]])</f>
        <v>0</v>
      </c>
      <c r="Q5" t="s">
        <v>49</v>
      </c>
      <c r="R5" t="s">
        <v>20</v>
      </c>
      <c r="S5" s="2">
        <v>46132</v>
      </c>
    </row>
    <row r="6" spans="1:20" x14ac:dyDescent="0.3">
      <c r="A6" t="s">
        <v>8</v>
      </c>
      <c r="B6" t="s">
        <v>12</v>
      </c>
      <c r="C6" t="s">
        <v>17</v>
      </c>
      <c r="D6" t="s">
        <v>8</v>
      </c>
      <c r="E6" t="s">
        <v>19</v>
      </c>
      <c r="F6" s="4">
        <v>105</v>
      </c>
      <c r="G6" s="4">
        <v>105</v>
      </c>
      <c r="H6" s="4">
        <f>IF(OR(Table1[[#This Row],[Price_own_USD]]="NA",Table1[[#This Row],[Price_retailer_USD]]="NA"),"NA",Table1[[#This Row],[Price_own_USD]]-Table1[[#This Row],[Price_retailer_USD]])</f>
        <v>0</v>
      </c>
      <c r="I6" t="s">
        <v>49</v>
      </c>
      <c r="J6" s="4">
        <v>80</v>
      </c>
      <c r="K6" s="4">
        <v>80</v>
      </c>
      <c r="L6" s="4">
        <f>IF(OR(Table1[[#This Row],[Price_own_GBP]]="NA",Table1[[#This Row],[Price_Retailer_GBP]]="NA"),"NA",Table1[[#This Row],[Price_own_GBP]]-Table1[[#This Row],[Price_Retailer_GBP]])</f>
        <v>0</v>
      </c>
      <c r="M6" t="s">
        <v>49</v>
      </c>
      <c r="N6" s="4">
        <v>420</v>
      </c>
      <c r="O6" s="4">
        <v>420</v>
      </c>
      <c r="P6" s="4">
        <f>IF(OR(Table1[[#This Row],[Price_own_AED]]="NA",Table1[[#This Row],[Price_Retailer_UAE]]="NA"),"NA",Table1[[#This Row],[Price_own_AED]]-Table1[[#This Row],[Price_Retailer_UAE]])</f>
        <v>0</v>
      </c>
      <c r="Q6" t="s">
        <v>49</v>
      </c>
      <c r="R6" t="s">
        <v>20</v>
      </c>
      <c r="S6" s="2">
        <v>46132</v>
      </c>
    </row>
    <row r="7" spans="1:20" x14ac:dyDescent="0.3">
      <c r="A7" t="s">
        <v>8</v>
      </c>
      <c r="B7" t="s">
        <v>13</v>
      </c>
      <c r="C7" t="s">
        <v>18</v>
      </c>
      <c r="D7" t="s">
        <v>8</v>
      </c>
      <c r="E7" t="s">
        <v>19</v>
      </c>
      <c r="F7" s="4">
        <v>105</v>
      </c>
      <c r="G7" s="4" t="s">
        <v>25</v>
      </c>
      <c r="H7" s="4" t="str">
        <f>IF(OR(Table1[[#This Row],[Price_own_USD]]="NA",Table1[[#This Row],[Price_retailer_USD]]="NA"),"NA",Table1[[#This Row],[Price_own_USD]]-Table1[[#This Row],[Price_retailer_USD]])</f>
        <v>NA</v>
      </c>
      <c r="I7" t="s">
        <v>49</v>
      </c>
      <c r="J7" s="4">
        <v>80</v>
      </c>
      <c r="K7" s="4" t="s">
        <v>25</v>
      </c>
      <c r="L7" s="4" t="str">
        <f>IF(OR(Table1[[#This Row],[Price_own_GBP]]="NA",Table1[[#This Row],[Price_Retailer_GBP]]="NA"),"NA",Table1[[#This Row],[Price_own_GBP]]-Table1[[#This Row],[Price_Retailer_GBP]])</f>
        <v>NA</v>
      </c>
      <c r="M7" t="s">
        <v>49</v>
      </c>
      <c r="N7" s="4">
        <v>420</v>
      </c>
      <c r="O7" s="4" t="s">
        <v>25</v>
      </c>
      <c r="P7" s="4" t="str">
        <f>IF(OR(Table1[[#This Row],[Price_own_AED]]="NA",Table1[[#This Row],[Price_Retailer_UAE]]="NA"),"NA",Table1[[#This Row],[Price_own_AED]]-Table1[[#This Row],[Price_Retailer_UAE]])</f>
        <v>NA</v>
      </c>
      <c r="Q7" t="s">
        <v>49</v>
      </c>
      <c r="R7" t="s">
        <v>20</v>
      </c>
      <c r="S7" s="2">
        <v>46132</v>
      </c>
      <c r="T7" t="s">
        <v>67</v>
      </c>
    </row>
    <row r="8" spans="1:20" x14ac:dyDescent="0.3">
      <c r="A8" t="s">
        <v>29</v>
      </c>
      <c r="B8" t="s">
        <v>30</v>
      </c>
      <c r="C8" t="s">
        <v>53</v>
      </c>
      <c r="D8" t="s">
        <v>46</v>
      </c>
      <c r="E8" t="s">
        <v>58</v>
      </c>
      <c r="F8" s="4">
        <v>170</v>
      </c>
      <c r="G8" s="4">
        <v>170</v>
      </c>
      <c r="H8" s="4">
        <f>IF(OR(Table1[[#This Row],[Price_own_USD]]="NA",Table1[[#This Row],[Price_retailer_USD]]="NA"),"NA",Table1[[#This Row],[Price_own_USD]]-Table1[[#This Row],[Price_retailer_USD]])</f>
        <v>0</v>
      </c>
      <c r="I8" t="s">
        <v>49</v>
      </c>
      <c r="J8" s="4">
        <v>122</v>
      </c>
      <c r="K8" s="4">
        <v>122</v>
      </c>
      <c r="L8" s="4">
        <f>IF(OR(Table1[[#This Row],[Price_own_GBP]]="NA",Table1[[#This Row],[Price_Retailer_GBP]]="NA"),"NA",Table1[[#This Row],[Price_own_GBP]]-Table1[[#This Row],[Price_Retailer_GBP]])</f>
        <v>0</v>
      </c>
      <c r="M8" t="s">
        <v>51</v>
      </c>
      <c r="N8" s="4">
        <v>595</v>
      </c>
      <c r="O8" s="4">
        <v>595</v>
      </c>
      <c r="P8" s="4">
        <f>IF(OR(Table1[[#This Row],[Price_own_AED]]="NA",Table1[[#This Row],[Price_Retailer_UAE]]="NA"),"NA",Table1[[#This Row],[Price_own_AED]]-Table1[[#This Row],[Price_Retailer_UAE]])</f>
        <v>0</v>
      </c>
      <c r="Q8" t="s">
        <v>49</v>
      </c>
      <c r="R8" t="s">
        <v>20</v>
      </c>
      <c r="S8" s="2">
        <v>46132</v>
      </c>
    </row>
    <row r="9" spans="1:20" x14ac:dyDescent="0.3">
      <c r="A9" t="s">
        <v>29</v>
      </c>
      <c r="B9" t="s">
        <v>31</v>
      </c>
      <c r="C9" t="s">
        <v>54</v>
      </c>
      <c r="D9" t="s">
        <v>46</v>
      </c>
      <c r="E9" t="s">
        <v>47</v>
      </c>
      <c r="F9" s="4">
        <v>160</v>
      </c>
      <c r="G9" s="4">
        <v>160</v>
      </c>
      <c r="H9" s="4">
        <f>IF(OR(Table1[[#This Row],[Price_own_USD]]="NA",Table1[[#This Row],[Price_retailer_USD]]="NA"),"NA",Table1[[#This Row],[Price_own_USD]]-Table1[[#This Row],[Price_retailer_USD]])</f>
        <v>0</v>
      </c>
      <c r="I9" t="s">
        <v>49</v>
      </c>
      <c r="J9" s="4">
        <v>116</v>
      </c>
      <c r="K9" s="4">
        <v>116</v>
      </c>
      <c r="L9" s="4">
        <f>IF(OR(Table1[[#This Row],[Price_own_GBP]]="NA",Table1[[#This Row],[Price_Retailer_GBP]]="NA"),"NA",Table1[[#This Row],[Price_own_GBP]]-Table1[[#This Row],[Price_Retailer_GBP]])</f>
        <v>0</v>
      </c>
      <c r="M9" t="s">
        <v>51</v>
      </c>
      <c r="N9" s="4">
        <v>535</v>
      </c>
      <c r="O9" s="4">
        <v>535</v>
      </c>
      <c r="P9" s="4">
        <f>IF(OR(Table1[[#This Row],[Price_own_AED]]="NA",Table1[[#This Row],[Price_Retailer_UAE]]="NA"),"NA",Table1[[#This Row],[Price_own_AED]]-Table1[[#This Row],[Price_Retailer_UAE]])</f>
        <v>0</v>
      </c>
      <c r="Q9" t="s">
        <v>49</v>
      </c>
      <c r="R9" t="s">
        <v>20</v>
      </c>
      <c r="S9" s="2">
        <v>46132</v>
      </c>
    </row>
    <row r="10" spans="1:20" x14ac:dyDescent="0.3">
      <c r="A10" t="s">
        <v>32</v>
      </c>
      <c r="B10" t="s">
        <v>33</v>
      </c>
      <c r="C10" t="s">
        <v>55</v>
      </c>
      <c r="D10" t="s">
        <v>46</v>
      </c>
      <c r="E10" t="s">
        <v>58</v>
      </c>
      <c r="F10" s="4">
        <v>170</v>
      </c>
      <c r="G10" s="4">
        <v>170</v>
      </c>
      <c r="H10" s="4">
        <f>IF(OR(Table1[[#This Row],[Price_own_USD]]="NA",Table1[[#This Row],[Price_retailer_USD]]="NA"),"NA",Table1[[#This Row],[Price_own_USD]]-Table1[[#This Row],[Price_retailer_USD]])</f>
        <v>0</v>
      </c>
      <c r="I10" t="s">
        <v>49</v>
      </c>
      <c r="J10" s="4">
        <v>126</v>
      </c>
      <c r="K10" s="4">
        <v>126</v>
      </c>
      <c r="L10" s="4">
        <f>IF(OR(Table1[[#This Row],[Price_own_GBP]]="NA",Table1[[#This Row],[Price_Retailer_GBP]]="NA"),"NA",Table1[[#This Row],[Price_own_GBP]]-Table1[[#This Row],[Price_Retailer_GBP]])</f>
        <v>0</v>
      </c>
      <c r="M10" t="s">
        <v>49</v>
      </c>
      <c r="N10" s="4">
        <v>745</v>
      </c>
      <c r="O10" s="4">
        <v>745</v>
      </c>
      <c r="P10" s="4">
        <f>IF(OR(Table1[[#This Row],[Price_own_AED]]="NA",Table1[[#This Row],[Price_Retailer_UAE]]="NA"),"NA",Table1[[#This Row],[Price_own_AED]]-Table1[[#This Row],[Price_Retailer_UAE]])</f>
        <v>0</v>
      </c>
      <c r="Q10" t="s">
        <v>49</v>
      </c>
      <c r="R10" t="s">
        <v>20</v>
      </c>
      <c r="S10" s="2">
        <v>46132</v>
      </c>
    </row>
    <row r="11" spans="1:20" x14ac:dyDescent="0.3">
      <c r="A11" t="s">
        <v>32</v>
      </c>
      <c r="B11" t="s">
        <v>34</v>
      </c>
      <c r="C11" t="s">
        <v>55</v>
      </c>
      <c r="D11" t="s">
        <v>46</v>
      </c>
      <c r="E11" t="s">
        <v>58</v>
      </c>
      <c r="F11" s="4">
        <v>170</v>
      </c>
      <c r="G11" s="4">
        <v>170</v>
      </c>
      <c r="H11" s="4">
        <f>IF(OR(Table1[[#This Row],[Price_own_USD]]="NA",Table1[[#This Row],[Price_retailer_USD]]="NA"),"NA",Table1[[#This Row],[Price_own_USD]]-Table1[[#This Row],[Price_retailer_USD]])</f>
        <v>0</v>
      </c>
      <c r="I11" t="s">
        <v>49</v>
      </c>
      <c r="J11" s="4">
        <v>127</v>
      </c>
      <c r="K11" s="4">
        <v>100</v>
      </c>
      <c r="L11" s="4">
        <f>IF(OR(Table1[[#This Row],[Price_own_GBP]]="NA",Table1[[#This Row],[Price_Retailer_GBP]]="NA"),"NA",Table1[[#This Row],[Price_own_GBP]]-Table1[[#This Row],[Price_Retailer_GBP]])</f>
        <v>27</v>
      </c>
      <c r="M11" t="s">
        <v>49</v>
      </c>
      <c r="N11" s="4">
        <v>745</v>
      </c>
      <c r="O11" s="4">
        <v>745</v>
      </c>
      <c r="P11" s="4">
        <f>IF(OR(Table1[[#This Row],[Price_own_AED]]="NA",Table1[[#This Row],[Price_Retailer_UAE]]="NA"),"NA",Table1[[#This Row],[Price_own_AED]]-Table1[[#This Row],[Price_Retailer_UAE]])</f>
        <v>0</v>
      </c>
      <c r="Q11" t="s">
        <v>49</v>
      </c>
      <c r="R11" t="s">
        <v>59</v>
      </c>
      <c r="S11" s="2">
        <v>46133</v>
      </c>
    </row>
    <row r="12" spans="1:20" x14ac:dyDescent="0.3">
      <c r="A12" t="s">
        <v>35</v>
      </c>
      <c r="B12" t="s">
        <v>36</v>
      </c>
      <c r="C12" t="s">
        <v>56</v>
      </c>
      <c r="D12" t="s">
        <v>46</v>
      </c>
      <c r="E12" t="s">
        <v>47</v>
      </c>
      <c r="F12" s="4">
        <v>235</v>
      </c>
      <c r="G12" s="4">
        <v>192</v>
      </c>
      <c r="H12" s="4">
        <f>IF(OR(Table1[[#This Row],[Price_own_USD]]="NA",Table1[[#This Row],[Price_retailer_USD]]="NA"),"NA",Table1[[#This Row],[Price_own_USD]]-Table1[[#This Row],[Price_retailer_USD]])</f>
        <v>43</v>
      </c>
      <c r="I12" t="s">
        <v>62</v>
      </c>
      <c r="J12" s="4">
        <v>155</v>
      </c>
      <c r="K12" s="4">
        <v>150</v>
      </c>
      <c r="L12" s="4">
        <f>IF(OR(Table1[[#This Row],[Price_own_GBP]]="NA",Table1[[#This Row],[Price_Retailer_GBP]]="NA"),"NA",Table1[[#This Row],[Price_own_GBP]]-Table1[[#This Row],[Price_Retailer_GBP]])</f>
        <v>5</v>
      </c>
      <c r="M12" t="s">
        <v>51</v>
      </c>
      <c r="N12" s="4">
        <v>790</v>
      </c>
      <c r="O12" s="4">
        <v>790</v>
      </c>
      <c r="P12" s="4">
        <f>IF(OR(Table1[[#This Row],[Price_own_AED]]="NA",Table1[[#This Row],[Price_Retailer_UAE]]="NA"),"NA",Table1[[#This Row],[Price_own_AED]]-Table1[[#This Row],[Price_Retailer_UAE]])</f>
        <v>0</v>
      </c>
      <c r="Q12" t="s">
        <v>60</v>
      </c>
      <c r="R12" t="s">
        <v>20</v>
      </c>
      <c r="S12" s="2">
        <v>46133</v>
      </c>
      <c r="T12" t="s">
        <v>61</v>
      </c>
    </row>
    <row r="13" spans="1:20" x14ac:dyDescent="0.3">
      <c r="A13" t="s">
        <v>35</v>
      </c>
      <c r="B13" t="s">
        <v>37</v>
      </c>
      <c r="C13" t="s">
        <v>56</v>
      </c>
      <c r="D13" t="s">
        <v>46</v>
      </c>
      <c r="E13" t="s">
        <v>47</v>
      </c>
      <c r="F13" s="4">
        <v>235</v>
      </c>
      <c r="G13" s="4">
        <v>157</v>
      </c>
      <c r="H13" s="4">
        <f>IF(OR(Table1[[#This Row],[Price_own_USD]]="NA",Table1[[#This Row],[Price_retailer_USD]]="NA"),"NA",Table1[[#This Row],[Price_own_USD]]-Table1[[#This Row],[Price_retailer_USD]])</f>
        <v>78</v>
      </c>
      <c r="I13" t="s">
        <v>62</v>
      </c>
      <c r="J13" s="4">
        <v>155</v>
      </c>
      <c r="K13" s="4">
        <v>150</v>
      </c>
      <c r="L13" s="4">
        <f>IF(OR(Table1[[#This Row],[Price_own_GBP]]="NA",Table1[[#This Row],[Price_Retailer_GBP]]="NA"),"NA",Table1[[#This Row],[Price_own_GBP]]-Table1[[#This Row],[Price_Retailer_GBP]])</f>
        <v>5</v>
      </c>
      <c r="M13" t="s">
        <v>51</v>
      </c>
      <c r="N13" s="4">
        <v>790</v>
      </c>
      <c r="O13" s="4">
        <v>790</v>
      </c>
      <c r="P13" s="4">
        <f>IF(OR(Table1[[#This Row],[Price_own_AED]]="NA",Table1[[#This Row],[Price_Retailer_UAE]]="NA"),"NA",Table1[[#This Row],[Price_own_AED]]-Table1[[#This Row],[Price_Retailer_UAE]])</f>
        <v>0</v>
      </c>
      <c r="Q13" t="s">
        <v>60</v>
      </c>
      <c r="R13" t="s">
        <v>20</v>
      </c>
      <c r="S13" s="2">
        <v>46133</v>
      </c>
      <c r="T13" t="s">
        <v>61</v>
      </c>
    </row>
    <row r="14" spans="1:20" x14ac:dyDescent="0.3">
      <c r="A14" t="s">
        <v>38</v>
      </c>
      <c r="B14" t="s">
        <v>39</v>
      </c>
      <c r="C14" t="s">
        <v>25</v>
      </c>
      <c r="D14" t="s">
        <v>46</v>
      </c>
      <c r="E14" t="s">
        <v>63</v>
      </c>
      <c r="F14" s="4">
        <v>49</v>
      </c>
      <c r="G14" s="4">
        <v>27</v>
      </c>
      <c r="H14" s="4">
        <f>IF(OR(Table1[[#This Row],[Price_own_USD]]="NA",Table1[[#This Row],[Price_retailer_USD]]="NA"),"NA",Table1[[#This Row],[Price_own_USD]]-Table1[[#This Row],[Price_retailer_USD]])</f>
        <v>22</v>
      </c>
      <c r="I14" t="s">
        <v>62</v>
      </c>
      <c r="J14" s="4" t="s">
        <v>25</v>
      </c>
      <c r="K14" s="4">
        <v>20</v>
      </c>
      <c r="L14" s="4" t="str">
        <f>IF(OR(Table1[[#This Row],[Price_own_GBP]]="NA",Table1[[#This Row],[Price_Retailer_GBP]]="NA"),"NA",Table1[[#This Row],[Price_own_GBP]]-Table1[[#This Row],[Price_Retailer_GBP]])</f>
        <v>NA</v>
      </c>
      <c r="M14" t="s">
        <v>71</v>
      </c>
      <c r="N14" s="4">
        <v>169</v>
      </c>
      <c r="O14" s="4">
        <v>140</v>
      </c>
      <c r="P14" s="4">
        <f>IF(OR(Table1[[#This Row],[Price_own_AED]]="NA",Table1[[#This Row],[Price_Retailer_UAE]]="NA"),"NA",Table1[[#This Row],[Price_own_AED]]-Table1[[#This Row],[Price_Retailer_UAE]])</f>
        <v>29</v>
      </c>
      <c r="Q14" t="s">
        <v>64</v>
      </c>
      <c r="R14" t="s">
        <v>70</v>
      </c>
      <c r="S14" s="2">
        <v>46133</v>
      </c>
    </row>
    <row r="15" spans="1:20" x14ac:dyDescent="0.3">
      <c r="A15" t="s">
        <v>38</v>
      </c>
      <c r="B15" t="s">
        <v>40</v>
      </c>
      <c r="C15" t="s">
        <v>25</v>
      </c>
      <c r="D15" t="s">
        <v>46</v>
      </c>
      <c r="E15" t="s">
        <v>63</v>
      </c>
      <c r="F15" s="4">
        <v>44</v>
      </c>
      <c r="G15" s="4">
        <v>22</v>
      </c>
      <c r="H15" s="4">
        <f>IF(OR(Table1[[#This Row],[Price_own_USD]]="NA",Table1[[#This Row],[Price_retailer_USD]]="NA"),"NA",Table1[[#This Row],[Price_own_USD]]-Table1[[#This Row],[Price_retailer_USD]])</f>
        <v>22</v>
      </c>
      <c r="I15" t="s">
        <v>62</v>
      </c>
      <c r="J15" s="4" t="s">
        <v>25</v>
      </c>
      <c r="K15" s="4">
        <v>22</v>
      </c>
      <c r="L15" s="4" t="str">
        <f>IF(OR(Table1[[#This Row],[Price_own_GBP]]="NA",Table1[[#This Row],[Price_Retailer_GBP]]="NA"),"NA",Table1[[#This Row],[Price_own_GBP]]-Table1[[#This Row],[Price_Retailer_GBP]])</f>
        <v>NA</v>
      </c>
      <c r="M15" t="s">
        <v>71</v>
      </c>
      <c r="N15" s="4">
        <v>119</v>
      </c>
      <c r="O15" s="4">
        <v>116</v>
      </c>
      <c r="P15" s="4">
        <f>IF(OR(Table1[[#This Row],[Price_own_AED]]="NA",Table1[[#This Row],[Price_Retailer_UAE]]="NA"),"NA",Table1[[#This Row],[Price_own_AED]]-Table1[[#This Row],[Price_Retailer_UAE]])</f>
        <v>3</v>
      </c>
      <c r="Q15" t="s">
        <v>64</v>
      </c>
      <c r="R15" t="s">
        <v>70</v>
      </c>
      <c r="S15" s="2">
        <v>46133</v>
      </c>
    </row>
    <row r="16" spans="1:20" ht="15.6" customHeight="1" x14ac:dyDescent="0.3">
      <c r="A16" t="s">
        <v>41</v>
      </c>
      <c r="B16" t="s">
        <v>42</v>
      </c>
      <c r="C16" t="s">
        <v>57</v>
      </c>
      <c r="D16" t="s">
        <v>46</v>
      </c>
      <c r="E16" t="s">
        <v>63</v>
      </c>
      <c r="F16" s="4">
        <v>94</v>
      </c>
      <c r="G16" s="4">
        <v>99</v>
      </c>
      <c r="H16" s="4">
        <f>IF(OR(Table1[[#This Row],[Price_own_USD]]="NA",Table1[[#This Row],[Price_retailer_USD]]="NA"),"NA",Table1[[#This Row],[Price_own_USD]]-Table1[[#This Row],[Price_retailer_USD]])</f>
        <v>-5</v>
      </c>
      <c r="I16" t="s">
        <v>62</v>
      </c>
      <c r="J16" s="4" t="s">
        <v>25</v>
      </c>
      <c r="K16" s="4">
        <v>106</v>
      </c>
      <c r="L16" s="4" t="str">
        <f>IF(OR(Table1[[#This Row],[Price_own_GBP]]="NA",Table1[[#This Row],[Price_Retailer_GBP]]="NA"),"NA",Table1[[#This Row],[Price_own_GBP]]-Table1[[#This Row],[Price_Retailer_GBP]])</f>
        <v>NA</v>
      </c>
      <c r="M16" t="s">
        <v>71</v>
      </c>
      <c r="N16" s="4">
        <v>525</v>
      </c>
      <c r="O16" s="4">
        <v>499</v>
      </c>
      <c r="P16" s="4">
        <f>IF(OR(Table1[[#This Row],[Price_own_AED]]="NA",Table1[[#This Row],[Price_Retailer_UAE]]="NA"),"NA",Table1[[#This Row],[Price_own_AED]]-Table1[[#This Row],[Price_Retailer_UAE]])</f>
        <v>26</v>
      </c>
      <c r="Q16" t="s">
        <v>64</v>
      </c>
      <c r="R16" t="s">
        <v>68</v>
      </c>
      <c r="S16" s="2">
        <v>46133</v>
      </c>
    </row>
    <row r="17" spans="1:20" x14ac:dyDescent="0.3">
      <c r="A17" t="s">
        <v>41</v>
      </c>
      <c r="B17" s="3" t="s">
        <v>66</v>
      </c>
      <c r="C17" t="s">
        <v>25</v>
      </c>
      <c r="D17" t="s">
        <v>46</v>
      </c>
      <c r="E17" t="s">
        <v>63</v>
      </c>
      <c r="F17" s="4" t="s">
        <v>25</v>
      </c>
      <c r="G17" s="4" t="s">
        <v>25</v>
      </c>
      <c r="H17" s="4" t="str">
        <f>IF(OR(Table1[[#This Row],[Price_own_USD]]="NA",Table1[[#This Row],[Price_retailer_USD]]="NA"),"NA",Table1[[#This Row],[Price_own_USD]]-Table1[[#This Row],[Price_retailer_USD]])</f>
        <v>NA</v>
      </c>
      <c r="I17" t="s">
        <v>62</v>
      </c>
      <c r="J17" s="4" t="s">
        <v>25</v>
      </c>
      <c r="K17" s="4" t="s">
        <v>25</v>
      </c>
      <c r="L17" s="4" t="str">
        <f>IF(OR(Table1[[#This Row],[Price_own_GBP]]="NA",Table1[[#This Row],[Price_Retailer_GBP]]="NA"),"NA",Table1[[#This Row],[Price_own_GBP]]-Table1[[#This Row],[Price_Retailer_GBP]])</f>
        <v>NA</v>
      </c>
      <c r="M17" t="s">
        <v>71</v>
      </c>
      <c r="N17" s="4">
        <v>210</v>
      </c>
      <c r="O17" s="4">
        <v>105</v>
      </c>
      <c r="P17" s="4">
        <f>IF(OR(Table1[[#This Row],[Price_own_AED]]="NA",Table1[[#This Row],[Price_Retailer_UAE]]="NA"),"NA",Table1[[#This Row],[Price_own_AED]]-Table1[[#This Row],[Price_Retailer_UAE]])</f>
        <v>105</v>
      </c>
      <c r="Q17" t="s">
        <v>64</v>
      </c>
      <c r="R17" t="s">
        <v>65</v>
      </c>
      <c r="S17" s="2">
        <v>46133</v>
      </c>
    </row>
    <row r="18" spans="1:20" x14ac:dyDescent="0.3">
      <c r="A18" t="s">
        <v>43</v>
      </c>
      <c r="B18" t="s">
        <v>44</v>
      </c>
      <c r="C18" t="s">
        <v>56</v>
      </c>
      <c r="D18" t="s">
        <v>46</v>
      </c>
      <c r="E18" t="s">
        <v>63</v>
      </c>
      <c r="F18" s="4">
        <v>340</v>
      </c>
      <c r="G18" s="4">
        <v>349</v>
      </c>
      <c r="H18" s="4">
        <f>IF(OR(Table1[[#This Row],[Price_own_USD]]="NA",Table1[[#This Row],[Price_retailer_USD]]="NA"),"NA",Table1[[#This Row],[Price_own_USD]]-Table1[[#This Row],[Price_retailer_USD]])</f>
        <v>-9</v>
      </c>
      <c r="I18" t="s">
        <v>62</v>
      </c>
      <c r="J18" s="4">
        <v>238</v>
      </c>
      <c r="K18" s="4">
        <v>238</v>
      </c>
      <c r="L18" s="4">
        <f>IF(OR(Table1[[#This Row],[Price_own_GBP]]="NA",Table1[[#This Row],[Price_Retailer_GBP]]="NA"),"NA",Table1[[#This Row],[Price_own_GBP]]-Table1[[#This Row],[Price_Retailer_GBP]])</f>
        <v>0</v>
      </c>
      <c r="M18" t="s">
        <v>51</v>
      </c>
      <c r="N18" s="4">
        <v>1322</v>
      </c>
      <c r="O18" s="4">
        <v>1322</v>
      </c>
      <c r="P18" s="4">
        <f>IF(OR(Table1[[#This Row],[Price_own_AED]]="NA",Table1[[#This Row],[Price_Retailer_UAE]]="NA"),"NA",Table1[[#This Row],[Price_own_AED]]-Table1[[#This Row],[Price_Retailer_UAE]])</f>
        <v>0</v>
      </c>
      <c r="Q18" t="s">
        <v>60</v>
      </c>
      <c r="R18" t="s">
        <v>20</v>
      </c>
      <c r="S18" s="2">
        <v>46133</v>
      </c>
    </row>
    <row r="19" spans="1:20" x14ac:dyDescent="0.3">
      <c r="A19" t="s">
        <v>43</v>
      </c>
      <c r="B19" t="s">
        <v>45</v>
      </c>
      <c r="C19" t="s">
        <v>56</v>
      </c>
      <c r="D19" t="s">
        <v>46</v>
      </c>
      <c r="E19" t="s">
        <v>63</v>
      </c>
      <c r="F19" s="4">
        <v>340</v>
      </c>
      <c r="G19" s="4" t="s">
        <v>25</v>
      </c>
      <c r="H19" s="4" t="str">
        <f>IF(OR(Table1[[#This Row],[Price_own_USD]]="NA",Table1[[#This Row],[Price_retailer_USD]]="NA"),"NA",Table1[[#This Row],[Price_own_USD]]-Table1[[#This Row],[Price_retailer_USD]])</f>
        <v>NA</v>
      </c>
      <c r="I19" t="s">
        <v>62</v>
      </c>
      <c r="J19" s="4">
        <v>238</v>
      </c>
      <c r="K19" s="4">
        <v>238</v>
      </c>
      <c r="L19" s="4">
        <f>IF(OR(Table1[[#This Row],[Price_own_GBP]]="NA",Table1[[#This Row],[Price_Retailer_GBP]]="NA"),"NA",Table1[[#This Row],[Price_own_GBP]]-Table1[[#This Row],[Price_Retailer_GBP]])</f>
        <v>0</v>
      </c>
      <c r="M19" t="s">
        <v>51</v>
      </c>
      <c r="N19" s="4">
        <v>1322</v>
      </c>
      <c r="O19" s="4">
        <v>1322</v>
      </c>
      <c r="P19" s="4">
        <f>IF(OR(Table1[[#This Row],[Price_own_AED]]="NA",Table1[[#This Row],[Price_Retailer_UAE]]="NA"),"NA",Table1[[#This Row],[Price_own_AED]]-Table1[[#This Row],[Price_Retailer_UAE]])</f>
        <v>0</v>
      </c>
      <c r="Q19" t="s">
        <v>60</v>
      </c>
      <c r="R19" t="s">
        <v>20</v>
      </c>
      <c r="S19" s="2">
        <v>46133</v>
      </c>
      <c r="T19" t="s">
        <v>72</v>
      </c>
    </row>
    <row r="23" spans="1:20" x14ac:dyDescent="0.3">
      <c r="F23" s="5"/>
      <c r="G23" s="5"/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Pricing_Data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Sowndarrya S R</dc:creator>
  <cp:lastModifiedBy>Sowndarrya Srinivasan</cp:lastModifiedBy>
  <dcterms:created xsi:type="dcterms:W3CDTF">2015-06-05T18:17:20Z</dcterms:created>
  <dcterms:modified xsi:type="dcterms:W3CDTF">2026-05-01T14:10:02Z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c058067d-05f4-4c77-abfc-0e96eec17ef0</vt:lpwstr>
  </property>
</Properties>
</file>