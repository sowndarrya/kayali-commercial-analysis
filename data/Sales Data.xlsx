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wnd\Downloads\Project Kayali Commercial Analyst\"/>
    </mc:Choice>
  </mc:AlternateContent>
  <xr:revisionPtr revIDLastSave="0" documentId="13_ncr:1_{028C0823-9B2B-4866-B1C2-CF22F83A5A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Data" sheetId="1" r:id="rId1"/>
    <sheet name="Sheet3" sheetId="5" r:id="rId2"/>
    <sheet name="MAIN REFERENCE" sheetId="4" r:id="rId3"/>
    <sheet name="Links" sheetId="3" r:id="rId4"/>
    <sheet name="Sheet1" sheetId="2" r:id="rId5"/>
  </sheets>
  <definedNames>
    <definedName name="_xlnm._FilterDatabase" localSheetId="0" hidden="1">Sales_Data!$A$1:$Q$865</definedName>
    <definedName name="_xlnm._FilterDatabase" localSheetId="1" hidden="1">Sheet3!$A$16:$H$34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57" i="1" l="1"/>
  <c r="O858" i="1"/>
  <c r="O859" i="1"/>
  <c r="O860" i="1"/>
  <c r="O861" i="1"/>
  <c r="O862" i="1"/>
  <c r="O863" i="1"/>
  <c r="O864" i="1"/>
  <c r="O865" i="1"/>
  <c r="O85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2" i="1"/>
  <c r="E11" i="2"/>
  <c r="J17" i="5"/>
  <c r="I17" i="5"/>
  <c r="I18" i="5"/>
  <c r="J18" i="5" s="1"/>
  <c r="I19" i="5"/>
  <c r="J19" i="5" s="1"/>
  <c r="I20" i="5"/>
  <c r="J20" i="5" s="1"/>
  <c r="I21" i="5"/>
  <c r="J21" i="5" s="1"/>
  <c r="I22" i="5"/>
  <c r="I23" i="5"/>
  <c r="J23" i="5" s="1"/>
  <c r="I24" i="5"/>
  <c r="I25" i="5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I33" i="5"/>
  <c r="I34" i="5"/>
  <c r="J34" i="5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J168" i="1" s="1"/>
  <c r="K168" i="1" s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J313" i="1" s="1"/>
  <c r="K313" i="1" s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J416" i="1" s="1"/>
  <c r="K416" i="1" s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J528" i="1" s="1"/>
  <c r="K528" i="1" s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2" i="1"/>
  <c r="J2" i="1" s="1"/>
  <c r="C42" i="5"/>
  <c r="C43" i="5"/>
  <c r="J24" i="5" s="1"/>
  <c r="C44" i="5"/>
  <c r="C45" i="5"/>
  <c r="C46" i="5"/>
  <c r="J25" i="5" s="1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E48" i="5"/>
  <c r="E49" i="5"/>
  <c r="E50" i="5"/>
  <c r="E51" i="5"/>
  <c r="E52" i="5"/>
  <c r="E53" i="5"/>
  <c r="E54" i="5"/>
  <c r="E55" i="5"/>
  <c r="E56" i="5"/>
  <c r="E57" i="5"/>
  <c r="E58" i="5"/>
  <c r="E59" i="5"/>
  <c r="E43" i="5"/>
  <c r="E44" i="5"/>
  <c r="E45" i="5"/>
  <c r="E46" i="5"/>
  <c r="E47" i="5"/>
  <c r="E42" i="5"/>
  <c r="C10" i="5"/>
  <c r="F28" i="5" s="1"/>
  <c r="D10" i="5"/>
  <c r="G34" i="5" s="1"/>
  <c r="E10" i="5"/>
  <c r="H19" i="5" s="1"/>
  <c r="B10" i="5"/>
  <c r="E28" i="5" s="1"/>
  <c r="E9" i="5"/>
  <c r="H24" i="5" s="1"/>
  <c r="D9" i="5"/>
  <c r="G30" i="5" s="1"/>
  <c r="C9" i="5"/>
  <c r="F33" i="5" s="1"/>
  <c r="B9" i="5"/>
  <c r="E30" i="5" s="1"/>
  <c r="E8" i="5"/>
  <c r="H29" i="5" s="1"/>
  <c r="D8" i="5"/>
  <c r="G20" i="5" s="1"/>
  <c r="C8" i="5"/>
  <c r="F17" i="5" s="1"/>
  <c r="B8" i="5"/>
  <c r="E26" i="5" s="1"/>
  <c r="K2" i="1" l="1"/>
  <c r="L2" i="1" s="1"/>
  <c r="M2" i="1" s="1"/>
  <c r="L313" i="1"/>
  <c r="M313" i="1" s="1"/>
  <c r="L168" i="1"/>
  <c r="M168" i="1" s="1"/>
  <c r="L416" i="1"/>
  <c r="M416" i="1" s="1"/>
  <c r="L528" i="1"/>
  <c r="M528" i="1" s="1"/>
  <c r="J789" i="1"/>
  <c r="K789" i="1" s="1"/>
  <c r="J716" i="1"/>
  <c r="K716" i="1" s="1"/>
  <c r="J788" i="1"/>
  <c r="K788" i="1" s="1"/>
  <c r="J693" i="1"/>
  <c r="K693" i="1" s="1"/>
  <c r="J853" i="1"/>
  <c r="K853" i="1" s="1"/>
  <c r="J780" i="1"/>
  <c r="K780" i="1" s="1"/>
  <c r="J692" i="1"/>
  <c r="K692" i="1" s="1"/>
  <c r="J852" i="1"/>
  <c r="K852" i="1" s="1"/>
  <c r="J757" i="1"/>
  <c r="K757" i="1" s="1"/>
  <c r="J684" i="1"/>
  <c r="K684" i="1" s="1"/>
  <c r="J844" i="1"/>
  <c r="K844" i="1" s="1"/>
  <c r="J756" i="1"/>
  <c r="K756" i="1" s="1"/>
  <c r="J513" i="1"/>
  <c r="K513" i="1" s="1"/>
  <c r="J821" i="1"/>
  <c r="K821" i="1" s="1"/>
  <c r="J748" i="1"/>
  <c r="K748" i="1" s="1"/>
  <c r="J505" i="1"/>
  <c r="K505" i="1" s="1"/>
  <c r="J820" i="1"/>
  <c r="K820" i="1" s="1"/>
  <c r="J725" i="1"/>
  <c r="K725" i="1" s="1"/>
  <c r="J257" i="1"/>
  <c r="K257" i="1" s="1"/>
  <c r="J812" i="1"/>
  <c r="K812" i="1" s="1"/>
  <c r="J724" i="1"/>
  <c r="K724" i="1" s="1"/>
  <c r="J249" i="1"/>
  <c r="K249" i="1" s="1"/>
  <c r="J851" i="1"/>
  <c r="K851" i="1" s="1"/>
  <c r="J819" i="1"/>
  <c r="K819" i="1" s="1"/>
  <c r="J779" i="1"/>
  <c r="K779" i="1" s="1"/>
  <c r="J739" i="1"/>
  <c r="K739" i="1" s="1"/>
  <c r="J699" i="1"/>
  <c r="K699" i="1" s="1"/>
  <c r="J659" i="1"/>
  <c r="K659" i="1" s="1"/>
  <c r="J619" i="1"/>
  <c r="K619" i="1" s="1"/>
  <c r="J579" i="1"/>
  <c r="K579" i="1" s="1"/>
  <c r="J555" i="1"/>
  <c r="K555" i="1" s="1"/>
  <c r="J515" i="1"/>
  <c r="K515" i="1" s="1"/>
  <c r="J483" i="1"/>
  <c r="K483" i="1" s="1"/>
  <c r="J451" i="1"/>
  <c r="K451" i="1" s="1"/>
  <c r="J403" i="1"/>
  <c r="K403" i="1" s="1"/>
  <c r="J371" i="1"/>
  <c r="K371" i="1" s="1"/>
  <c r="J291" i="1"/>
  <c r="K291" i="1" s="1"/>
  <c r="J835" i="1"/>
  <c r="K835" i="1" s="1"/>
  <c r="J803" i="1"/>
  <c r="K803" i="1" s="1"/>
  <c r="J771" i="1"/>
  <c r="K771" i="1" s="1"/>
  <c r="J731" i="1"/>
  <c r="K731" i="1" s="1"/>
  <c r="J707" i="1"/>
  <c r="K707" i="1" s="1"/>
  <c r="J675" i="1"/>
  <c r="K675" i="1" s="1"/>
  <c r="J635" i="1"/>
  <c r="K635" i="1" s="1"/>
  <c r="J595" i="1"/>
  <c r="K595" i="1" s="1"/>
  <c r="J563" i="1"/>
  <c r="K563" i="1" s="1"/>
  <c r="J523" i="1"/>
  <c r="K523" i="1" s="1"/>
  <c r="J491" i="1"/>
  <c r="K491" i="1" s="1"/>
  <c r="J459" i="1"/>
  <c r="K459" i="1" s="1"/>
  <c r="J427" i="1"/>
  <c r="K427" i="1" s="1"/>
  <c r="J411" i="1"/>
  <c r="K411" i="1" s="1"/>
  <c r="J379" i="1"/>
  <c r="K379" i="1" s="1"/>
  <c r="J355" i="1"/>
  <c r="K355" i="1" s="1"/>
  <c r="J331" i="1"/>
  <c r="K331" i="1" s="1"/>
  <c r="J307" i="1"/>
  <c r="K307" i="1" s="1"/>
  <c r="J283" i="1"/>
  <c r="K283" i="1" s="1"/>
  <c r="J259" i="1"/>
  <c r="K259" i="1" s="1"/>
  <c r="J834" i="1"/>
  <c r="K834" i="1" s="1"/>
  <c r="J794" i="1"/>
  <c r="K794" i="1" s="1"/>
  <c r="J746" i="1"/>
  <c r="K746" i="1" s="1"/>
  <c r="J706" i="1"/>
  <c r="K706" i="1" s="1"/>
  <c r="J658" i="1"/>
  <c r="K658" i="1" s="1"/>
  <c r="J626" i="1"/>
  <c r="K626" i="1" s="1"/>
  <c r="J578" i="1"/>
  <c r="K578" i="1" s="1"/>
  <c r="J530" i="1"/>
  <c r="K530" i="1" s="1"/>
  <c r="J482" i="1"/>
  <c r="K482" i="1" s="1"/>
  <c r="J442" i="1"/>
  <c r="K442" i="1" s="1"/>
  <c r="J402" i="1"/>
  <c r="K402" i="1" s="1"/>
  <c r="J362" i="1"/>
  <c r="K362" i="1" s="1"/>
  <c r="J322" i="1"/>
  <c r="K322" i="1" s="1"/>
  <c r="J282" i="1"/>
  <c r="K282" i="1" s="1"/>
  <c r="J250" i="1"/>
  <c r="K250" i="1" s="1"/>
  <c r="J202" i="1"/>
  <c r="K202" i="1" s="1"/>
  <c r="J170" i="1"/>
  <c r="K170" i="1" s="1"/>
  <c r="J122" i="1"/>
  <c r="K122" i="1" s="1"/>
  <c r="J82" i="1"/>
  <c r="K82" i="1" s="1"/>
  <c r="J42" i="1"/>
  <c r="K42" i="1" s="1"/>
  <c r="J833" i="1"/>
  <c r="K833" i="1" s="1"/>
  <c r="J793" i="1"/>
  <c r="K793" i="1" s="1"/>
  <c r="J753" i="1"/>
  <c r="K753" i="1" s="1"/>
  <c r="J713" i="1"/>
  <c r="K713" i="1" s="1"/>
  <c r="J673" i="1"/>
  <c r="K673" i="1" s="1"/>
  <c r="J537" i="1"/>
  <c r="K537" i="1" s="1"/>
  <c r="J417" i="1"/>
  <c r="K417" i="1" s="1"/>
  <c r="J297" i="1"/>
  <c r="K297" i="1" s="1"/>
  <c r="J265" i="1"/>
  <c r="K265" i="1" s="1"/>
  <c r="J233" i="1"/>
  <c r="K233" i="1" s="1"/>
  <c r="J201" i="1"/>
  <c r="K201" i="1" s="1"/>
  <c r="J113" i="1"/>
  <c r="K113" i="1" s="1"/>
  <c r="J105" i="1"/>
  <c r="K105" i="1" s="1"/>
  <c r="J97" i="1"/>
  <c r="K97" i="1" s="1"/>
  <c r="J81" i="1"/>
  <c r="K81" i="1" s="1"/>
  <c r="J49" i="1"/>
  <c r="K49" i="1" s="1"/>
  <c r="J41" i="1"/>
  <c r="K41" i="1" s="1"/>
  <c r="J33" i="1"/>
  <c r="K33" i="1" s="1"/>
  <c r="J25" i="1"/>
  <c r="K25" i="1" s="1"/>
  <c r="J17" i="1"/>
  <c r="K17" i="1" s="1"/>
  <c r="J9" i="1"/>
  <c r="K9" i="1" s="1"/>
  <c r="J845" i="1"/>
  <c r="K845" i="1" s="1"/>
  <c r="J813" i="1"/>
  <c r="K813" i="1" s="1"/>
  <c r="J781" i="1"/>
  <c r="K781" i="1" s="1"/>
  <c r="J749" i="1"/>
  <c r="K749" i="1" s="1"/>
  <c r="J717" i="1"/>
  <c r="K717" i="1" s="1"/>
  <c r="J685" i="1"/>
  <c r="K685" i="1" s="1"/>
  <c r="J449" i="1"/>
  <c r="K449" i="1" s="1"/>
  <c r="J193" i="1"/>
  <c r="K193" i="1" s="1"/>
  <c r="J859" i="1"/>
  <c r="K859" i="1" s="1"/>
  <c r="J811" i="1"/>
  <c r="K811" i="1" s="1"/>
  <c r="J755" i="1"/>
  <c r="K755" i="1" s="1"/>
  <c r="J691" i="1"/>
  <c r="K691" i="1" s="1"/>
  <c r="J643" i="1"/>
  <c r="K643" i="1" s="1"/>
  <c r="J603" i="1"/>
  <c r="K603" i="1" s="1"/>
  <c r="J531" i="1"/>
  <c r="K531" i="1" s="1"/>
  <c r="J323" i="1"/>
  <c r="K323" i="1" s="1"/>
  <c r="J826" i="1"/>
  <c r="K826" i="1" s="1"/>
  <c r="J778" i="1"/>
  <c r="K778" i="1" s="1"/>
  <c r="J738" i="1"/>
  <c r="K738" i="1" s="1"/>
  <c r="J698" i="1"/>
  <c r="K698" i="1" s="1"/>
  <c r="J666" i="1"/>
  <c r="K666" i="1" s="1"/>
  <c r="J602" i="1"/>
  <c r="K602" i="1" s="1"/>
  <c r="J570" i="1"/>
  <c r="K570" i="1" s="1"/>
  <c r="J538" i="1"/>
  <c r="K538" i="1" s="1"/>
  <c r="J498" i="1"/>
  <c r="K498" i="1" s="1"/>
  <c r="J458" i="1"/>
  <c r="K458" i="1" s="1"/>
  <c r="J418" i="1"/>
  <c r="K418" i="1" s="1"/>
  <c r="J386" i="1"/>
  <c r="K386" i="1" s="1"/>
  <c r="J346" i="1"/>
  <c r="K346" i="1" s="1"/>
  <c r="J306" i="1"/>
  <c r="K306" i="1" s="1"/>
  <c r="J274" i="1"/>
  <c r="K274" i="1" s="1"/>
  <c r="J226" i="1"/>
  <c r="K226" i="1" s="1"/>
  <c r="J178" i="1"/>
  <c r="K178" i="1" s="1"/>
  <c r="J138" i="1"/>
  <c r="K138" i="1" s="1"/>
  <c r="J98" i="1"/>
  <c r="K98" i="1" s="1"/>
  <c r="J58" i="1"/>
  <c r="K58" i="1" s="1"/>
  <c r="J34" i="1"/>
  <c r="K34" i="1" s="1"/>
  <c r="J857" i="1"/>
  <c r="K857" i="1" s="1"/>
  <c r="J809" i="1"/>
  <c r="K809" i="1" s="1"/>
  <c r="J761" i="1"/>
  <c r="K761" i="1" s="1"/>
  <c r="J609" i="1"/>
  <c r="K609" i="1" s="1"/>
  <c r="J553" i="1"/>
  <c r="K553" i="1" s="1"/>
  <c r="J289" i="1"/>
  <c r="K289" i="1" s="1"/>
  <c r="J856" i="1"/>
  <c r="K856" i="1" s="1"/>
  <c r="J858" i="1"/>
  <c r="K858" i="1" s="1"/>
  <c r="J810" i="1"/>
  <c r="K810" i="1" s="1"/>
  <c r="J762" i="1"/>
  <c r="K762" i="1" s="1"/>
  <c r="J722" i="1"/>
  <c r="K722" i="1" s="1"/>
  <c r="J690" i="1"/>
  <c r="K690" i="1" s="1"/>
  <c r="J650" i="1"/>
  <c r="K650" i="1" s="1"/>
  <c r="J618" i="1"/>
  <c r="K618" i="1" s="1"/>
  <c r="J586" i="1"/>
  <c r="K586" i="1" s="1"/>
  <c r="J546" i="1"/>
  <c r="K546" i="1" s="1"/>
  <c r="J506" i="1"/>
  <c r="K506" i="1" s="1"/>
  <c r="J474" i="1"/>
  <c r="K474" i="1" s="1"/>
  <c r="J434" i="1"/>
  <c r="K434" i="1" s="1"/>
  <c r="J394" i="1"/>
  <c r="K394" i="1" s="1"/>
  <c r="J354" i="1"/>
  <c r="K354" i="1" s="1"/>
  <c r="J314" i="1"/>
  <c r="K314" i="1" s="1"/>
  <c r="J266" i="1"/>
  <c r="K266" i="1" s="1"/>
  <c r="J234" i="1"/>
  <c r="K234" i="1" s="1"/>
  <c r="J194" i="1"/>
  <c r="K194" i="1" s="1"/>
  <c r="J154" i="1"/>
  <c r="K154" i="1" s="1"/>
  <c r="J114" i="1"/>
  <c r="K114" i="1" s="1"/>
  <c r="J66" i="1"/>
  <c r="K66" i="1" s="1"/>
  <c r="J18" i="1"/>
  <c r="K18" i="1" s="1"/>
  <c r="J849" i="1"/>
  <c r="K849" i="1" s="1"/>
  <c r="J801" i="1"/>
  <c r="K801" i="1" s="1"/>
  <c r="J745" i="1"/>
  <c r="K745" i="1" s="1"/>
  <c r="J601" i="1"/>
  <c r="K601" i="1" s="1"/>
  <c r="J481" i="1"/>
  <c r="K481" i="1" s="1"/>
  <c r="J433" i="1"/>
  <c r="K433" i="1" s="1"/>
  <c r="J401" i="1"/>
  <c r="K401" i="1" s="1"/>
  <c r="J369" i="1"/>
  <c r="K369" i="1" s="1"/>
  <c r="J337" i="1"/>
  <c r="K337" i="1" s="1"/>
  <c r="J281" i="1"/>
  <c r="K281" i="1" s="1"/>
  <c r="J73" i="1"/>
  <c r="K73" i="1" s="1"/>
  <c r="J832" i="1"/>
  <c r="K832" i="1" s="1"/>
  <c r="J808" i="1"/>
  <c r="K808" i="1" s="1"/>
  <c r="J776" i="1"/>
  <c r="K776" i="1" s="1"/>
  <c r="J752" i="1"/>
  <c r="K752" i="1" s="1"/>
  <c r="J720" i="1"/>
  <c r="K720" i="1" s="1"/>
  <c r="J680" i="1"/>
  <c r="K680" i="1" s="1"/>
  <c r="J640" i="1"/>
  <c r="K640" i="1" s="1"/>
  <c r="J616" i="1"/>
  <c r="K616" i="1" s="1"/>
  <c r="J576" i="1"/>
  <c r="K576" i="1" s="1"/>
  <c r="J441" i="1"/>
  <c r="K441" i="1" s="1"/>
  <c r="J185" i="1"/>
  <c r="K185" i="1" s="1"/>
  <c r="J863" i="1"/>
  <c r="K863" i="1" s="1"/>
  <c r="J855" i="1"/>
  <c r="K855" i="1" s="1"/>
  <c r="J847" i="1"/>
  <c r="K847" i="1" s="1"/>
  <c r="J839" i="1"/>
  <c r="K839" i="1" s="1"/>
  <c r="J831" i="1"/>
  <c r="K831" i="1" s="1"/>
  <c r="J823" i="1"/>
  <c r="K823" i="1" s="1"/>
  <c r="J815" i="1"/>
  <c r="K815" i="1" s="1"/>
  <c r="J807" i="1"/>
  <c r="K807" i="1" s="1"/>
  <c r="J799" i="1"/>
  <c r="K799" i="1" s="1"/>
  <c r="J791" i="1"/>
  <c r="K791" i="1" s="1"/>
  <c r="J783" i="1"/>
  <c r="K783" i="1" s="1"/>
  <c r="J775" i="1"/>
  <c r="K775" i="1" s="1"/>
  <c r="J767" i="1"/>
  <c r="K767" i="1" s="1"/>
  <c r="J759" i="1"/>
  <c r="K759" i="1" s="1"/>
  <c r="J751" i="1"/>
  <c r="K751" i="1" s="1"/>
  <c r="J743" i="1"/>
  <c r="K743" i="1" s="1"/>
  <c r="J735" i="1"/>
  <c r="K735" i="1" s="1"/>
  <c r="J727" i="1"/>
  <c r="K727" i="1" s="1"/>
  <c r="J719" i="1"/>
  <c r="K719" i="1" s="1"/>
  <c r="J711" i="1"/>
  <c r="K711" i="1" s="1"/>
  <c r="J703" i="1"/>
  <c r="K703" i="1" s="1"/>
  <c r="J695" i="1"/>
  <c r="K695" i="1" s="1"/>
  <c r="J687" i="1"/>
  <c r="K687" i="1" s="1"/>
  <c r="J679" i="1"/>
  <c r="K679" i="1" s="1"/>
  <c r="J671" i="1"/>
  <c r="K671" i="1" s="1"/>
  <c r="J663" i="1"/>
  <c r="K663" i="1" s="1"/>
  <c r="J655" i="1"/>
  <c r="K655" i="1" s="1"/>
  <c r="J837" i="1"/>
  <c r="K837" i="1" s="1"/>
  <c r="J805" i="1"/>
  <c r="K805" i="1" s="1"/>
  <c r="J773" i="1"/>
  <c r="K773" i="1" s="1"/>
  <c r="J741" i="1"/>
  <c r="K741" i="1" s="1"/>
  <c r="J709" i="1"/>
  <c r="K709" i="1" s="1"/>
  <c r="J641" i="1"/>
  <c r="K641" i="1" s="1"/>
  <c r="J385" i="1"/>
  <c r="K385" i="1" s="1"/>
  <c r="J129" i="1"/>
  <c r="K129" i="1" s="1"/>
  <c r="J827" i="1"/>
  <c r="K827" i="1" s="1"/>
  <c r="J787" i="1"/>
  <c r="K787" i="1" s="1"/>
  <c r="J747" i="1"/>
  <c r="K747" i="1" s="1"/>
  <c r="J715" i="1"/>
  <c r="K715" i="1" s="1"/>
  <c r="J667" i="1"/>
  <c r="K667" i="1" s="1"/>
  <c r="J627" i="1"/>
  <c r="K627" i="1" s="1"/>
  <c r="J587" i="1"/>
  <c r="K587" i="1" s="1"/>
  <c r="J547" i="1"/>
  <c r="K547" i="1" s="1"/>
  <c r="J507" i="1"/>
  <c r="K507" i="1" s="1"/>
  <c r="J475" i="1"/>
  <c r="K475" i="1" s="1"/>
  <c r="J443" i="1"/>
  <c r="K443" i="1" s="1"/>
  <c r="J419" i="1"/>
  <c r="K419" i="1" s="1"/>
  <c r="J387" i="1"/>
  <c r="K387" i="1" s="1"/>
  <c r="J363" i="1"/>
  <c r="K363" i="1" s="1"/>
  <c r="J339" i="1"/>
  <c r="K339" i="1" s="1"/>
  <c r="J315" i="1"/>
  <c r="K315" i="1" s="1"/>
  <c r="J299" i="1"/>
  <c r="K299" i="1" s="1"/>
  <c r="J275" i="1"/>
  <c r="K275" i="1" s="1"/>
  <c r="J267" i="1"/>
  <c r="K267" i="1" s="1"/>
  <c r="J842" i="1"/>
  <c r="K842" i="1" s="1"/>
  <c r="J818" i="1"/>
  <c r="K818" i="1" s="1"/>
  <c r="J786" i="1"/>
  <c r="K786" i="1" s="1"/>
  <c r="J754" i="1"/>
  <c r="K754" i="1" s="1"/>
  <c r="J714" i="1"/>
  <c r="K714" i="1" s="1"/>
  <c r="J674" i="1"/>
  <c r="K674" i="1" s="1"/>
  <c r="J634" i="1"/>
  <c r="K634" i="1" s="1"/>
  <c r="J610" i="1"/>
  <c r="K610" i="1" s="1"/>
  <c r="J554" i="1"/>
  <c r="K554" i="1" s="1"/>
  <c r="J514" i="1"/>
  <c r="K514" i="1" s="1"/>
  <c r="J490" i="1"/>
  <c r="K490" i="1" s="1"/>
  <c r="J450" i="1"/>
  <c r="K450" i="1" s="1"/>
  <c r="J410" i="1"/>
  <c r="K410" i="1" s="1"/>
  <c r="J370" i="1"/>
  <c r="K370" i="1" s="1"/>
  <c r="J338" i="1"/>
  <c r="K338" i="1" s="1"/>
  <c r="J298" i="1"/>
  <c r="K298" i="1" s="1"/>
  <c r="J258" i="1"/>
  <c r="K258" i="1" s="1"/>
  <c r="J218" i="1"/>
  <c r="K218" i="1" s="1"/>
  <c r="J186" i="1"/>
  <c r="K186" i="1" s="1"/>
  <c r="J146" i="1"/>
  <c r="K146" i="1" s="1"/>
  <c r="J130" i="1"/>
  <c r="K130" i="1" s="1"/>
  <c r="J90" i="1"/>
  <c r="K90" i="1" s="1"/>
  <c r="J50" i="1"/>
  <c r="K50" i="1" s="1"/>
  <c r="J10" i="1"/>
  <c r="K10" i="1" s="1"/>
  <c r="J865" i="1"/>
  <c r="K865" i="1" s="1"/>
  <c r="J825" i="1"/>
  <c r="K825" i="1" s="1"/>
  <c r="J777" i="1"/>
  <c r="K777" i="1" s="1"/>
  <c r="J729" i="1"/>
  <c r="K729" i="1" s="1"/>
  <c r="J705" i="1"/>
  <c r="K705" i="1" s="1"/>
  <c r="J681" i="1"/>
  <c r="K681" i="1" s="1"/>
  <c r="J657" i="1"/>
  <c r="K657" i="1" s="1"/>
  <c r="J617" i="1"/>
  <c r="K617" i="1" s="1"/>
  <c r="J585" i="1"/>
  <c r="K585" i="1" s="1"/>
  <c r="J561" i="1"/>
  <c r="K561" i="1" s="1"/>
  <c r="J545" i="1"/>
  <c r="K545" i="1" s="1"/>
  <c r="J521" i="1"/>
  <c r="K521" i="1" s="1"/>
  <c r="J497" i="1"/>
  <c r="K497" i="1" s="1"/>
  <c r="J425" i="1"/>
  <c r="K425" i="1" s="1"/>
  <c r="J393" i="1"/>
  <c r="K393" i="1" s="1"/>
  <c r="J353" i="1"/>
  <c r="K353" i="1" s="1"/>
  <c r="J241" i="1"/>
  <c r="K241" i="1" s="1"/>
  <c r="J217" i="1"/>
  <c r="K217" i="1" s="1"/>
  <c r="J169" i="1"/>
  <c r="K169" i="1" s="1"/>
  <c r="J840" i="1"/>
  <c r="K840" i="1" s="1"/>
  <c r="J800" i="1"/>
  <c r="K800" i="1" s="1"/>
  <c r="J768" i="1"/>
  <c r="K768" i="1" s="1"/>
  <c r="J744" i="1"/>
  <c r="K744" i="1" s="1"/>
  <c r="J712" i="1"/>
  <c r="K712" i="1" s="1"/>
  <c r="J688" i="1"/>
  <c r="K688" i="1" s="1"/>
  <c r="J656" i="1"/>
  <c r="K656" i="1" s="1"/>
  <c r="J624" i="1"/>
  <c r="K624" i="1" s="1"/>
  <c r="J592" i="1"/>
  <c r="K592" i="1" s="1"/>
  <c r="J568" i="1"/>
  <c r="K568" i="1" s="1"/>
  <c r="J552" i="1"/>
  <c r="K552" i="1" s="1"/>
  <c r="J536" i="1"/>
  <c r="K536" i="1" s="1"/>
  <c r="J862" i="1"/>
  <c r="K862" i="1" s="1"/>
  <c r="J854" i="1"/>
  <c r="K854" i="1" s="1"/>
  <c r="J846" i="1"/>
  <c r="K846" i="1" s="1"/>
  <c r="J838" i="1"/>
  <c r="K838" i="1" s="1"/>
  <c r="J830" i="1"/>
  <c r="K830" i="1" s="1"/>
  <c r="J822" i="1"/>
  <c r="K822" i="1" s="1"/>
  <c r="J814" i="1"/>
  <c r="K814" i="1" s="1"/>
  <c r="J806" i="1"/>
  <c r="K806" i="1" s="1"/>
  <c r="J798" i="1"/>
  <c r="K798" i="1" s="1"/>
  <c r="J790" i="1"/>
  <c r="K790" i="1" s="1"/>
  <c r="J782" i="1"/>
  <c r="K782" i="1" s="1"/>
  <c r="J774" i="1"/>
  <c r="K774" i="1" s="1"/>
  <c r="J766" i="1"/>
  <c r="K766" i="1" s="1"/>
  <c r="J758" i="1"/>
  <c r="K758" i="1" s="1"/>
  <c r="J750" i="1"/>
  <c r="K750" i="1" s="1"/>
  <c r="J742" i="1"/>
  <c r="K742" i="1" s="1"/>
  <c r="J734" i="1"/>
  <c r="K734" i="1" s="1"/>
  <c r="J726" i="1"/>
  <c r="K726" i="1" s="1"/>
  <c r="J718" i="1"/>
  <c r="K718" i="1" s="1"/>
  <c r="J710" i="1"/>
  <c r="K710" i="1" s="1"/>
  <c r="J702" i="1"/>
  <c r="K702" i="1" s="1"/>
  <c r="J694" i="1"/>
  <c r="K694" i="1" s="1"/>
  <c r="J686" i="1"/>
  <c r="K686" i="1" s="1"/>
  <c r="J678" i="1"/>
  <c r="K678" i="1" s="1"/>
  <c r="J670" i="1"/>
  <c r="K670" i="1" s="1"/>
  <c r="J662" i="1"/>
  <c r="K662" i="1" s="1"/>
  <c r="J654" i="1"/>
  <c r="K654" i="1" s="1"/>
  <c r="J646" i="1"/>
  <c r="K646" i="1" s="1"/>
  <c r="J638" i="1"/>
  <c r="K638" i="1" s="1"/>
  <c r="J630" i="1"/>
  <c r="K630" i="1" s="1"/>
  <c r="J622" i="1"/>
  <c r="K622" i="1" s="1"/>
  <c r="J614" i="1"/>
  <c r="K614" i="1" s="1"/>
  <c r="J606" i="1"/>
  <c r="K606" i="1" s="1"/>
  <c r="J598" i="1"/>
  <c r="K598" i="1" s="1"/>
  <c r="J590" i="1"/>
  <c r="K590" i="1" s="1"/>
  <c r="J582" i="1"/>
  <c r="K582" i="1" s="1"/>
  <c r="J574" i="1"/>
  <c r="K574" i="1" s="1"/>
  <c r="J566" i="1"/>
  <c r="K566" i="1" s="1"/>
  <c r="J558" i="1"/>
  <c r="K558" i="1" s="1"/>
  <c r="J550" i="1"/>
  <c r="K550" i="1" s="1"/>
  <c r="J542" i="1"/>
  <c r="K542" i="1" s="1"/>
  <c r="J534" i="1"/>
  <c r="K534" i="1" s="1"/>
  <c r="J526" i="1"/>
  <c r="K526" i="1" s="1"/>
  <c r="J518" i="1"/>
  <c r="K518" i="1" s="1"/>
  <c r="J510" i="1"/>
  <c r="K510" i="1" s="1"/>
  <c r="J502" i="1"/>
  <c r="K502" i="1" s="1"/>
  <c r="J494" i="1"/>
  <c r="K494" i="1" s="1"/>
  <c r="J486" i="1"/>
  <c r="K486" i="1" s="1"/>
  <c r="J478" i="1"/>
  <c r="K478" i="1" s="1"/>
  <c r="J470" i="1"/>
  <c r="K470" i="1" s="1"/>
  <c r="J462" i="1"/>
  <c r="K462" i="1" s="1"/>
  <c r="J454" i="1"/>
  <c r="K454" i="1" s="1"/>
  <c r="J446" i="1"/>
  <c r="K446" i="1" s="1"/>
  <c r="J438" i="1"/>
  <c r="K438" i="1" s="1"/>
  <c r="J430" i="1"/>
  <c r="K430" i="1" s="1"/>
  <c r="J422" i="1"/>
  <c r="K422" i="1" s="1"/>
  <c r="J414" i="1"/>
  <c r="K414" i="1" s="1"/>
  <c r="J406" i="1"/>
  <c r="K406" i="1" s="1"/>
  <c r="J398" i="1"/>
  <c r="K398" i="1" s="1"/>
  <c r="J390" i="1"/>
  <c r="K390" i="1" s="1"/>
  <c r="J382" i="1"/>
  <c r="K382" i="1" s="1"/>
  <c r="J374" i="1"/>
  <c r="K374" i="1" s="1"/>
  <c r="J366" i="1"/>
  <c r="K366" i="1" s="1"/>
  <c r="J358" i="1"/>
  <c r="K358" i="1" s="1"/>
  <c r="J350" i="1"/>
  <c r="K350" i="1" s="1"/>
  <c r="J342" i="1"/>
  <c r="K342" i="1" s="1"/>
  <c r="J334" i="1"/>
  <c r="K334" i="1" s="1"/>
  <c r="J326" i="1"/>
  <c r="K326" i="1" s="1"/>
  <c r="J318" i="1"/>
  <c r="K318" i="1" s="1"/>
  <c r="J310" i="1"/>
  <c r="K310" i="1" s="1"/>
  <c r="J302" i="1"/>
  <c r="K302" i="1" s="1"/>
  <c r="J294" i="1"/>
  <c r="K294" i="1" s="1"/>
  <c r="J286" i="1"/>
  <c r="K286" i="1" s="1"/>
  <c r="J278" i="1"/>
  <c r="K278" i="1" s="1"/>
  <c r="J270" i="1"/>
  <c r="K270" i="1" s="1"/>
  <c r="J836" i="1"/>
  <c r="K836" i="1" s="1"/>
  <c r="J804" i="1"/>
  <c r="K804" i="1" s="1"/>
  <c r="J772" i="1"/>
  <c r="K772" i="1" s="1"/>
  <c r="J740" i="1"/>
  <c r="K740" i="1" s="1"/>
  <c r="J708" i="1"/>
  <c r="K708" i="1" s="1"/>
  <c r="J633" i="1"/>
  <c r="K633" i="1" s="1"/>
  <c r="J377" i="1"/>
  <c r="K377" i="1" s="1"/>
  <c r="J121" i="1"/>
  <c r="K121" i="1" s="1"/>
  <c r="J841" i="1"/>
  <c r="K841" i="1" s="1"/>
  <c r="J785" i="1"/>
  <c r="K785" i="1" s="1"/>
  <c r="J737" i="1"/>
  <c r="K737" i="1" s="1"/>
  <c r="J697" i="1"/>
  <c r="K697" i="1" s="1"/>
  <c r="J665" i="1"/>
  <c r="K665" i="1" s="1"/>
  <c r="J625" i="1"/>
  <c r="K625" i="1" s="1"/>
  <c r="J593" i="1"/>
  <c r="K593" i="1" s="1"/>
  <c r="J489" i="1"/>
  <c r="K489" i="1" s="1"/>
  <c r="J473" i="1"/>
  <c r="K473" i="1" s="1"/>
  <c r="J465" i="1"/>
  <c r="K465" i="1" s="1"/>
  <c r="J457" i="1"/>
  <c r="K457" i="1" s="1"/>
  <c r="J345" i="1"/>
  <c r="K345" i="1" s="1"/>
  <c r="J225" i="1"/>
  <c r="K225" i="1" s="1"/>
  <c r="J209" i="1"/>
  <c r="K209" i="1" s="1"/>
  <c r="J177" i="1"/>
  <c r="K177" i="1" s="1"/>
  <c r="J153" i="1"/>
  <c r="K153" i="1" s="1"/>
  <c r="J145" i="1"/>
  <c r="K145" i="1" s="1"/>
  <c r="J137" i="1"/>
  <c r="K137" i="1" s="1"/>
  <c r="J89" i="1"/>
  <c r="K89" i="1" s="1"/>
  <c r="J864" i="1"/>
  <c r="K864" i="1" s="1"/>
  <c r="J824" i="1"/>
  <c r="K824" i="1" s="1"/>
  <c r="J792" i="1"/>
  <c r="K792" i="1" s="1"/>
  <c r="J736" i="1"/>
  <c r="K736" i="1" s="1"/>
  <c r="J704" i="1"/>
  <c r="K704" i="1" s="1"/>
  <c r="J672" i="1"/>
  <c r="K672" i="1" s="1"/>
  <c r="J648" i="1"/>
  <c r="K648" i="1" s="1"/>
  <c r="J608" i="1"/>
  <c r="K608" i="1" s="1"/>
  <c r="J544" i="1"/>
  <c r="K544" i="1" s="1"/>
  <c r="J677" i="1"/>
  <c r="K677" i="1" s="1"/>
  <c r="J669" i="1"/>
  <c r="K669" i="1" s="1"/>
  <c r="J661" i="1"/>
  <c r="K661" i="1" s="1"/>
  <c r="J653" i="1"/>
  <c r="K653" i="1" s="1"/>
  <c r="J861" i="1"/>
  <c r="K861" i="1" s="1"/>
  <c r="J829" i="1"/>
  <c r="K829" i="1" s="1"/>
  <c r="J797" i="1"/>
  <c r="K797" i="1" s="1"/>
  <c r="J765" i="1"/>
  <c r="K765" i="1" s="1"/>
  <c r="J733" i="1"/>
  <c r="K733" i="1" s="1"/>
  <c r="J701" i="1"/>
  <c r="K701" i="1" s="1"/>
  <c r="J577" i="1"/>
  <c r="K577" i="1" s="1"/>
  <c r="J321" i="1"/>
  <c r="K321" i="1" s="1"/>
  <c r="J65" i="1"/>
  <c r="K65" i="1" s="1"/>
  <c r="J843" i="1"/>
  <c r="K843" i="1" s="1"/>
  <c r="J795" i="1"/>
  <c r="K795" i="1" s="1"/>
  <c r="J763" i="1"/>
  <c r="K763" i="1" s="1"/>
  <c r="J723" i="1"/>
  <c r="K723" i="1" s="1"/>
  <c r="J683" i="1"/>
  <c r="K683" i="1" s="1"/>
  <c r="J651" i="1"/>
  <c r="K651" i="1" s="1"/>
  <c r="J611" i="1"/>
  <c r="K611" i="1" s="1"/>
  <c r="J571" i="1"/>
  <c r="K571" i="1" s="1"/>
  <c r="J539" i="1"/>
  <c r="K539" i="1" s="1"/>
  <c r="J499" i="1"/>
  <c r="K499" i="1" s="1"/>
  <c r="J467" i="1"/>
  <c r="K467" i="1" s="1"/>
  <c r="J435" i="1"/>
  <c r="K435" i="1" s="1"/>
  <c r="J395" i="1"/>
  <c r="K395" i="1" s="1"/>
  <c r="J347" i="1"/>
  <c r="K347" i="1" s="1"/>
  <c r="J850" i="1"/>
  <c r="K850" i="1" s="1"/>
  <c r="J802" i="1"/>
  <c r="K802" i="1" s="1"/>
  <c r="J770" i="1"/>
  <c r="K770" i="1" s="1"/>
  <c r="J730" i="1"/>
  <c r="K730" i="1" s="1"/>
  <c r="J682" i="1"/>
  <c r="K682" i="1" s="1"/>
  <c r="J642" i="1"/>
  <c r="K642" i="1" s="1"/>
  <c r="J594" i="1"/>
  <c r="K594" i="1" s="1"/>
  <c r="J562" i="1"/>
  <c r="K562" i="1" s="1"/>
  <c r="J522" i="1"/>
  <c r="K522" i="1" s="1"/>
  <c r="J466" i="1"/>
  <c r="K466" i="1" s="1"/>
  <c r="J426" i="1"/>
  <c r="K426" i="1" s="1"/>
  <c r="J378" i="1"/>
  <c r="K378" i="1" s="1"/>
  <c r="J330" i="1"/>
  <c r="K330" i="1" s="1"/>
  <c r="J290" i="1"/>
  <c r="K290" i="1" s="1"/>
  <c r="J242" i="1"/>
  <c r="K242" i="1" s="1"/>
  <c r="J210" i="1"/>
  <c r="K210" i="1" s="1"/>
  <c r="J162" i="1"/>
  <c r="K162" i="1" s="1"/>
  <c r="J106" i="1"/>
  <c r="K106" i="1" s="1"/>
  <c r="J74" i="1"/>
  <c r="K74" i="1" s="1"/>
  <c r="J26" i="1"/>
  <c r="K26" i="1" s="1"/>
  <c r="J817" i="1"/>
  <c r="K817" i="1" s="1"/>
  <c r="J769" i="1"/>
  <c r="K769" i="1" s="1"/>
  <c r="J721" i="1"/>
  <c r="K721" i="1" s="1"/>
  <c r="J689" i="1"/>
  <c r="K689" i="1" s="1"/>
  <c r="J649" i="1"/>
  <c r="K649" i="1" s="1"/>
  <c r="J529" i="1"/>
  <c r="K529" i="1" s="1"/>
  <c r="J409" i="1"/>
  <c r="K409" i="1" s="1"/>
  <c r="J361" i="1"/>
  <c r="K361" i="1" s="1"/>
  <c r="J329" i="1"/>
  <c r="K329" i="1" s="1"/>
  <c r="J305" i="1"/>
  <c r="K305" i="1" s="1"/>
  <c r="J273" i="1"/>
  <c r="K273" i="1" s="1"/>
  <c r="J161" i="1"/>
  <c r="K161" i="1" s="1"/>
  <c r="J848" i="1"/>
  <c r="K848" i="1" s="1"/>
  <c r="J816" i="1"/>
  <c r="K816" i="1" s="1"/>
  <c r="J784" i="1"/>
  <c r="K784" i="1" s="1"/>
  <c r="J760" i="1"/>
  <c r="K760" i="1" s="1"/>
  <c r="J728" i="1"/>
  <c r="K728" i="1" s="1"/>
  <c r="J696" i="1"/>
  <c r="K696" i="1" s="1"/>
  <c r="J664" i="1"/>
  <c r="K664" i="1" s="1"/>
  <c r="J632" i="1"/>
  <c r="K632" i="1" s="1"/>
  <c r="J600" i="1"/>
  <c r="K600" i="1" s="1"/>
  <c r="J584" i="1"/>
  <c r="K584" i="1" s="1"/>
  <c r="J560" i="1"/>
  <c r="K560" i="1" s="1"/>
  <c r="J676" i="1"/>
  <c r="K676" i="1" s="1"/>
  <c r="J668" i="1"/>
  <c r="K668" i="1" s="1"/>
  <c r="J660" i="1"/>
  <c r="K660" i="1" s="1"/>
  <c r="J652" i="1"/>
  <c r="K652" i="1" s="1"/>
  <c r="J644" i="1"/>
  <c r="K644" i="1" s="1"/>
  <c r="J636" i="1"/>
  <c r="K636" i="1" s="1"/>
  <c r="J628" i="1"/>
  <c r="K628" i="1" s="1"/>
  <c r="J620" i="1"/>
  <c r="K620" i="1" s="1"/>
  <c r="J612" i="1"/>
  <c r="K612" i="1" s="1"/>
  <c r="J604" i="1"/>
  <c r="K604" i="1" s="1"/>
  <c r="J860" i="1"/>
  <c r="K860" i="1" s="1"/>
  <c r="J828" i="1"/>
  <c r="K828" i="1" s="1"/>
  <c r="J796" i="1"/>
  <c r="K796" i="1" s="1"/>
  <c r="J764" i="1"/>
  <c r="K764" i="1" s="1"/>
  <c r="J732" i="1"/>
  <c r="K732" i="1" s="1"/>
  <c r="J700" i="1"/>
  <c r="K700" i="1" s="1"/>
  <c r="J569" i="1"/>
  <c r="K569" i="1" s="1"/>
  <c r="J57" i="1"/>
  <c r="K57" i="1" s="1"/>
  <c r="J520" i="1"/>
  <c r="K520" i="1" s="1"/>
  <c r="J512" i="1"/>
  <c r="K512" i="1" s="1"/>
  <c r="J504" i="1"/>
  <c r="K504" i="1" s="1"/>
  <c r="J496" i="1"/>
  <c r="K496" i="1" s="1"/>
  <c r="J488" i="1"/>
  <c r="K488" i="1" s="1"/>
  <c r="J480" i="1"/>
  <c r="K480" i="1" s="1"/>
  <c r="J472" i="1"/>
  <c r="K472" i="1" s="1"/>
  <c r="J464" i="1"/>
  <c r="K464" i="1" s="1"/>
  <c r="J456" i="1"/>
  <c r="K456" i="1" s="1"/>
  <c r="J448" i="1"/>
  <c r="K448" i="1" s="1"/>
  <c r="J440" i="1"/>
  <c r="K440" i="1" s="1"/>
  <c r="J432" i="1"/>
  <c r="K432" i="1" s="1"/>
  <c r="J424" i="1"/>
  <c r="K424" i="1" s="1"/>
  <c r="J408" i="1"/>
  <c r="K408" i="1" s="1"/>
  <c r="J400" i="1"/>
  <c r="K400" i="1" s="1"/>
  <c r="J392" i="1"/>
  <c r="K392" i="1" s="1"/>
  <c r="J384" i="1"/>
  <c r="K384" i="1" s="1"/>
  <c r="J376" i="1"/>
  <c r="K376" i="1" s="1"/>
  <c r="J368" i="1"/>
  <c r="K368" i="1" s="1"/>
  <c r="J360" i="1"/>
  <c r="K360" i="1" s="1"/>
  <c r="J352" i="1"/>
  <c r="K352" i="1" s="1"/>
  <c r="J344" i="1"/>
  <c r="K344" i="1" s="1"/>
  <c r="J336" i="1"/>
  <c r="K336" i="1" s="1"/>
  <c r="J328" i="1"/>
  <c r="K328" i="1" s="1"/>
  <c r="J320" i="1"/>
  <c r="K320" i="1" s="1"/>
  <c r="J312" i="1"/>
  <c r="K312" i="1" s="1"/>
  <c r="J304" i="1"/>
  <c r="K304" i="1" s="1"/>
  <c r="J296" i="1"/>
  <c r="K296" i="1" s="1"/>
  <c r="J288" i="1"/>
  <c r="K288" i="1" s="1"/>
  <c r="J280" i="1"/>
  <c r="K280" i="1" s="1"/>
  <c r="J272" i="1"/>
  <c r="K272" i="1" s="1"/>
  <c r="J264" i="1"/>
  <c r="K264" i="1" s="1"/>
  <c r="J256" i="1"/>
  <c r="K256" i="1" s="1"/>
  <c r="J248" i="1"/>
  <c r="K248" i="1" s="1"/>
  <c r="J240" i="1"/>
  <c r="K240" i="1" s="1"/>
  <c r="J232" i="1"/>
  <c r="K232" i="1" s="1"/>
  <c r="J224" i="1"/>
  <c r="K224" i="1" s="1"/>
  <c r="J216" i="1"/>
  <c r="K216" i="1" s="1"/>
  <c r="J208" i="1"/>
  <c r="K208" i="1" s="1"/>
  <c r="J200" i="1"/>
  <c r="K200" i="1" s="1"/>
  <c r="J192" i="1"/>
  <c r="K192" i="1" s="1"/>
  <c r="J184" i="1"/>
  <c r="K184" i="1" s="1"/>
  <c r="J176" i="1"/>
  <c r="K176" i="1" s="1"/>
  <c r="J160" i="1"/>
  <c r="K160" i="1" s="1"/>
  <c r="J152" i="1"/>
  <c r="K152" i="1" s="1"/>
  <c r="J144" i="1"/>
  <c r="K144" i="1" s="1"/>
  <c r="J136" i="1"/>
  <c r="K136" i="1" s="1"/>
  <c r="J128" i="1"/>
  <c r="K128" i="1" s="1"/>
  <c r="J120" i="1"/>
  <c r="K120" i="1" s="1"/>
  <c r="J112" i="1"/>
  <c r="K112" i="1" s="1"/>
  <c r="J104" i="1"/>
  <c r="K104" i="1" s="1"/>
  <c r="J96" i="1"/>
  <c r="K96" i="1" s="1"/>
  <c r="J88" i="1"/>
  <c r="K88" i="1" s="1"/>
  <c r="J80" i="1"/>
  <c r="K80" i="1" s="1"/>
  <c r="J72" i="1"/>
  <c r="K72" i="1" s="1"/>
  <c r="J64" i="1"/>
  <c r="K64" i="1" s="1"/>
  <c r="J56" i="1"/>
  <c r="K56" i="1" s="1"/>
  <c r="J48" i="1"/>
  <c r="K48" i="1" s="1"/>
  <c r="J40" i="1"/>
  <c r="K40" i="1" s="1"/>
  <c r="J32" i="1"/>
  <c r="K32" i="1" s="1"/>
  <c r="J24" i="1"/>
  <c r="K24" i="1" s="1"/>
  <c r="J16" i="1"/>
  <c r="K16" i="1" s="1"/>
  <c r="J8" i="1"/>
  <c r="K8" i="1" s="1"/>
  <c r="J647" i="1"/>
  <c r="K647" i="1" s="1"/>
  <c r="J639" i="1"/>
  <c r="K639" i="1" s="1"/>
  <c r="J631" i="1"/>
  <c r="K631" i="1" s="1"/>
  <c r="J623" i="1"/>
  <c r="K623" i="1" s="1"/>
  <c r="J615" i="1"/>
  <c r="K615" i="1" s="1"/>
  <c r="J607" i="1"/>
  <c r="K607" i="1" s="1"/>
  <c r="J599" i="1"/>
  <c r="K599" i="1" s="1"/>
  <c r="J591" i="1"/>
  <c r="K591" i="1" s="1"/>
  <c r="J583" i="1"/>
  <c r="K583" i="1" s="1"/>
  <c r="J575" i="1"/>
  <c r="K575" i="1" s="1"/>
  <c r="J567" i="1"/>
  <c r="K567" i="1" s="1"/>
  <c r="J559" i="1"/>
  <c r="K559" i="1" s="1"/>
  <c r="J551" i="1"/>
  <c r="K551" i="1" s="1"/>
  <c r="J543" i="1"/>
  <c r="K543" i="1" s="1"/>
  <c r="J535" i="1"/>
  <c r="K535" i="1" s="1"/>
  <c r="J527" i="1"/>
  <c r="K527" i="1" s="1"/>
  <c r="J519" i="1"/>
  <c r="K519" i="1" s="1"/>
  <c r="J511" i="1"/>
  <c r="K511" i="1" s="1"/>
  <c r="J503" i="1"/>
  <c r="K503" i="1" s="1"/>
  <c r="J495" i="1"/>
  <c r="K495" i="1" s="1"/>
  <c r="J487" i="1"/>
  <c r="K487" i="1" s="1"/>
  <c r="J479" i="1"/>
  <c r="K479" i="1" s="1"/>
  <c r="J471" i="1"/>
  <c r="K471" i="1" s="1"/>
  <c r="J463" i="1"/>
  <c r="K463" i="1" s="1"/>
  <c r="J455" i="1"/>
  <c r="K455" i="1" s="1"/>
  <c r="J447" i="1"/>
  <c r="K447" i="1" s="1"/>
  <c r="J439" i="1"/>
  <c r="K439" i="1" s="1"/>
  <c r="J431" i="1"/>
  <c r="K431" i="1" s="1"/>
  <c r="J423" i="1"/>
  <c r="K423" i="1" s="1"/>
  <c r="J415" i="1"/>
  <c r="K415" i="1" s="1"/>
  <c r="J407" i="1"/>
  <c r="K407" i="1" s="1"/>
  <c r="J399" i="1"/>
  <c r="K399" i="1" s="1"/>
  <c r="J391" i="1"/>
  <c r="K391" i="1" s="1"/>
  <c r="J383" i="1"/>
  <c r="K383" i="1" s="1"/>
  <c r="J375" i="1"/>
  <c r="K375" i="1" s="1"/>
  <c r="J367" i="1"/>
  <c r="K367" i="1" s="1"/>
  <c r="J359" i="1"/>
  <c r="K359" i="1" s="1"/>
  <c r="J351" i="1"/>
  <c r="K351" i="1" s="1"/>
  <c r="J343" i="1"/>
  <c r="K343" i="1" s="1"/>
  <c r="J335" i="1"/>
  <c r="K335" i="1" s="1"/>
  <c r="J327" i="1"/>
  <c r="K327" i="1" s="1"/>
  <c r="J319" i="1"/>
  <c r="K319" i="1" s="1"/>
  <c r="J311" i="1"/>
  <c r="K311" i="1" s="1"/>
  <c r="J303" i="1"/>
  <c r="K303" i="1" s="1"/>
  <c r="J295" i="1"/>
  <c r="K295" i="1" s="1"/>
  <c r="J287" i="1"/>
  <c r="K287" i="1" s="1"/>
  <c r="J279" i="1"/>
  <c r="K279" i="1" s="1"/>
  <c r="J271" i="1"/>
  <c r="K271" i="1" s="1"/>
  <c r="J263" i="1"/>
  <c r="K263" i="1" s="1"/>
  <c r="J255" i="1"/>
  <c r="K255" i="1" s="1"/>
  <c r="J247" i="1"/>
  <c r="K247" i="1" s="1"/>
  <c r="J239" i="1"/>
  <c r="K239" i="1" s="1"/>
  <c r="J231" i="1"/>
  <c r="K231" i="1" s="1"/>
  <c r="J223" i="1"/>
  <c r="K223" i="1" s="1"/>
  <c r="J215" i="1"/>
  <c r="K215" i="1" s="1"/>
  <c r="J207" i="1"/>
  <c r="K207" i="1" s="1"/>
  <c r="J199" i="1"/>
  <c r="K199" i="1" s="1"/>
  <c r="J191" i="1"/>
  <c r="K191" i="1" s="1"/>
  <c r="J183" i="1"/>
  <c r="K183" i="1" s="1"/>
  <c r="J175" i="1"/>
  <c r="K175" i="1" s="1"/>
  <c r="J167" i="1"/>
  <c r="K167" i="1" s="1"/>
  <c r="J159" i="1"/>
  <c r="K159" i="1" s="1"/>
  <c r="J151" i="1"/>
  <c r="K151" i="1" s="1"/>
  <c r="J143" i="1"/>
  <c r="K143" i="1" s="1"/>
  <c r="J135" i="1"/>
  <c r="K135" i="1" s="1"/>
  <c r="J127" i="1"/>
  <c r="K127" i="1" s="1"/>
  <c r="J119" i="1"/>
  <c r="K119" i="1" s="1"/>
  <c r="J111" i="1"/>
  <c r="K111" i="1" s="1"/>
  <c r="J103" i="1"/>
  <c r="K103" i="1" s="1"/>
  <c r="J95" i="1"/>
  <c r="K95" i="1" s="1"/>
  <c r="J87" i="1"/>
  <c r="K87" i="1" s="1"/>
  <c r="J79" i="1"/>
  <c r="K79" i="1" s="1"/>
  <c r="J71" i="1"/>
  <c r="K71" i="1" s="1"/>
  <c r="J63" i="1"/>
  <c r="K63" i="1" s="1"/>
  <c r="J55" i="1"/>
  <c r="K55" i="1" s="1"/>
  <c r="J47" i="1"/>
  <c r="K47" i="1" s="1"/>
  <c r="J39" i="1"/>
  <c r="K39" i="1" s="1"/>
  <c r="J31" i="1"/>
  <c r="K31" i="1" s="1"/>
  <c r="J23" i="1"/>
  <c r="K23" i="1" s="1"/>
  <c r="J15" i="1"/>
  <c r="K15" i="1" s="1"/>
  <c r="J7" i="1"/>
  <c r="K7" i="1" s="1"/>
  <c r="J262" i="1"/>
  <c r="K262" i="1" s="1"/>
  <c r="J254" i="1"/>
  <c r="K254" i="1" s="1"/>
  <c r="J246" i="1"/>
  <c r="K246" i="1" s="1"/>
  <c r="J238" i="1"/>
  <c r="K238" i="1" s="1"/>
  <c r="J230" i="1"/>
  <c r="K230" i="1" s="1"/>
  <c r="J222" i="1"/>
  <c r="K222" i="1" s="1"/>
  <c r="J214" i="1"/>
  <c r="K214" i="1" s="1"/>
  <c r="J206" i="1"/>
  <c r="K206" i="1" s="1"/>
  <c r="J198" i="1"/>
  <c r="K198" i="1" s="1"/>
  <c r="J190" i="1"/>
  <c r="K190" i="1" s="1"/>
  <c r="J182" i="1"/>
  <c r="K182" i="1" s="1"/>
  <c r="J174" i="1"/>
  <c r="K174" i="1" s="1"/>
  <c r="J166" i="1"/>
  <c r="K166" i="1" s="1"/>
  <c r="J158" i="1"/>
  <c r="K158" i="1" s="1"/>
  <c r="J150" i="1"/>
  <c r="K150" i="1" s="1"/>
  <c r="J142" i="1"/>
  <c r="K142" i="1" s="1"/>
  <c r="J134" i="1"/>
  <c r="K134" i="1" s="1"/>
  <c r="J126" i="1"/>
  <c r="K126" i="1" s="1"/>
  <c r="J118" i="1"/>
  <c r="K118" i="1" s="1"/>
  <c r="J110" i="1"/>
  <c r="K110" i="1" s="1"/>
  <c r="J102" i="1"/>
  <c r="K102" i="1" s="1"/>
  <c r="J94" i="1"/>
  <c r="K94" i="1" s="1"/>
  <c r="J86" i="1"/>
  <c r="K86" i="1" s="1"/>
  <c r="J78" i="1"/>
  <c r="K78" i="1" s="1"/>
  <c r="J70" i="1"/>
  <c r="K70" i="1" s="1"/>
  <c r="J62" i="1"/>
  <c r="K62" i="1" s="1"/>
  <c r="J54" i="1"/>
  <c r="K54" i="1" s="1"/>
  <c r="J46" i="1"/>
  <c r="K46" i="1" s="1"/>
  <c r="J38" i="1"/>
  <c r="K38" i="1" s="1"/>
  <c r="J30" i="1"/>
  <c r="K30" i="1" s="1"/>
  <c r="J22" i="1"/>
  <c r="K22" i="1" s="1"/>
  <c r="J14" i="1"/>
  <c r="K14" i="1" s="1"/>
  <c r="J6" i="1"/>
  <c r="K6" i="1" s="1"/>
  <c r="J645" i="1"/>
  <c r="K645" i="1" s="1"/>
  <c r="J637" i="1"/>
  <c r="K637" i="1" s="1"/>
  <c r="J629" i="1"/>
  <c r="K629" i="1" s="1"/>
  <c r="J621" i="1"/>
  <c r="K621" i="1" s="1"/>
  <c r="J613" i="1"/>
  <c r="K613" i="1" s="1"/>
  <c r="J605" i="1"/>
  <c r="K605" i="1" s="1"/>
  <c r="J597" i="1"/>
  <c r="K597" i="1" s="1"/>
  <c r="J589" i="1"/>
  <c r="K589" i="1" s="1"/>
  <c r="J581" i="1"/>
  <c r="K581" i="1" s="1"/>
  <c r="J573" i="1"/>
  <c r="K573" i="1" s="1"/>
  <c r="J565" i="1"/>
  <c r="K565" i="1" s="1"/>
  <c r="J557" i="1"/>
  <c r="K557" i="1" s="1"/>
  <c r="J549" i="1"/>
  <c r="K549" i="1" s="1"/>
  <c r="J541" i="1"/>
  <c r="K541" i="1" s="1"/>
  <c r="J533" i="1"/>
  <c r="K533" i="1" s="1"/>
  <c r="J525" i="1"/>
  <c r="K525" i="1" s="1"/>
  <c r="J517" i="1"/>
  <c r="K517" i="1" s="1"/>
  <c r="J509" i="1"/>
  <c r="K509" i="1" s="1"/>
  <c r="J501" i="1"/>
  <c r="K501" i="1" s="1"/>
  <c r="J493" i="1"/>
  <c r="K493" i="1" s="1"/>
  <c r="J485" i="1"/>
  <c r="K485" i="1" s="1"/>
  <c r="J477" i="1"/>
  <c r="K477" i="1" s="1"/>
  <c r="J469" i="1"/>
  <c r="K469" i="1" s="1"/>
  <c r="J461" i="1"/>
  <c r="K461" i="1" s="1"/>
  <c r="J453" i="1"/>
  <c r="K453" i="1" s="1"/>
  <c r="J445" i="1"/>
  <c r="K445" i="1" s="1"/>
  <c r="J437" i="1"/>
  <c r="K437" i="1" s="1"/>
  <c r="J429" i="1"/>
  <c r="K429" i="1" s="1"/>
  <c r="J421" i="1"/>
  <c r="K421" i="1" s="1"/>
  <c r="J413" i="1"/>
  <c r="K413" i="1" s="1"/>
  <c r="J405" i="1"/>
  <c r="K405" i="1" s="1"/>
  <c r="J397" i="1"/>
  <c r="K397" i="1" s="1"/>
  <c r="J389" i="1"/>
  <c r="K389" i="1" s="1"/>
  <c r="J381" i="1"/>
  <c r="K381" i="1" s="1"/>
  <c r="J373" i="1"/>
  <c r="K373" i="1" s="1"/>
  <c r="J365" i="1"/>
  <c r="K365" i="1" s="1"/>
  <c r="J357" i="1"/>
  <c r="K357" i="1" s="1"/>
  <c r="J349" i="1"/>
  <c r="K349" i="1" s="1"/>
  <c r="J341" i="1"/>
  <c r="K341" i="1" s="1"/>
  <c r="J333" i="1"/>
  <c r="K333" i="1" s="1"/>
  <c r="J325" i="1"/>
  <c r="K325" i="1" s="1"/>
  <c r="J317" i="1"/>
  <c r="K317" i="1" s="1"/>
  <c r="J309" i="1"/>
  <c r="K309" i="1" s="1"/>
  <c r="J301" i="1"/>
  <c r="K301" i="1" s="1"/>
  <c r="J293" i="1"/>
  <c r="K293" i="1" s="1"/>
  <c r="J285" i="1"/>
  <c r="K285" i="1" s="1"/>
  <c r="J277" i="1"/>
  <c r="K277" i="1" s="1"/>
  <c r="J269" i="1"/>
  <c r="K269" i="1" s="1"/>
  <c r="J261" i="1"/>
  <c r="K261" i="1" s="1"/>
  <c r="J253" i="1"/>
  <c r="K253" i="1" s="1"/>
  <c r="J245" i="1"/>
  <c r="K245" i="1" s="1"/>
  <c r="J237" i="1"/>
  <c r="K237" i="1" s="1"/>
  <c r="J229" i="1"/>
  <c r="K229" i="1" s="1"/>
  <c r="J221" i="1"/>
  <c r="K221" i="1" s="1"/>
  <c r="J213" i="1"/>
  <c r="K213" i="1" s="1"/>
  <c r="J205" i="1"/>
  <c r="K205" i="1" s="1"/>
  <c r="J197" i="1"/>
  <c r="K197" i="1" s="1"/>
  <c r="J189" i="1"/>
  <c r="K189" i="1" s="1"/>
  <c r="J181" i="1"/>
  <c r="K181" i="1" s="1"/>
  <c r="J173" i="1"/>
  <c r="K173" i="1" s="1"/>
  <c r="J165" i="1"/>
  <c r="K165" i="1" s="1"/>
  <c r="J157" i="1"/>
  <c r="K157" i="1" s="1"/>
  <c r="J149" i="1"/>
  <c r="K149" i="1" s="1"/>
  <c r="J141" i="1"/>
  <c r="K141" i="1" s="1"/>
  <c r="J133" i="1"/>
  <c r="K133" i="1" s="1"/>
  <c r="J125" i="1"/>
  <c r="K125" i="1" s="1"/>
  <c r="J117" i="1"/>
  <c r="K117" i="1" s="1"/>
  <c r="J109" i="1"/>
  <c r="K109" i="1" s="1"/>
  <c r="J101" i="1"/>
  <c r="K101" i="1" s="1"/>
  <c r="J93" i="1"/>
  <c r="K93" i="1" s="1"/>
  <c r="J85" i="1"/>
  <c r="K85" i="1" s="1"/>
  <c r="J77" i="1"/>
  <c r="K77" i="1" s="1"/>
  <c r="J69" i="1"/>
  <c r="K69" i="1" s="1"/>
  <c r="J61" i="1"/>
  <c r="K61" i="1" s="1"/>
  <c r="J53" i="1"/>
  <c r="K53" i="1" s="1"/>
  <c r="J45" i="1"/>
  <c r="K45" i="1" s="1"/>
  <c r="J37" i="1"/>
  <c r="K37" i="1" s="1"/>
  <c r="J29" i="1"/>
  <c r="K29" i="1" s="1"/>
  <c r="J21" i="1"/>
  <c r="K21" i="1" s="1"/>
  <c r="J13" i="1"/>
  <c r="K13" i="1" s="1"/>
  <c r="J5" i="1"/>
  <c r="K5" i="1" s="1"/>
  <c r="J596" i="1"/>
  <c r="K596" i="1" s="1"/>
  <c r="J588" i="1"/>
  <c r="K588" i="1" s="1"/>
  <c r="J580" i="1"/>
  <c r="K580" i="1" s="1"/>
  <c r="J572" i="1"/>
  <c r="K572" i="1" s="1"/>
  <c r="J564" i="1"/>
  <c r="K564" i="1" s="1"/>
  <c r="J556" i="1"/>
  <c r="K556" i="1" s="1"/>
  <c r="J548" i="1"/>
  <c r="K548" i="1" s="1"/>
  <c r="J540" i="1"/>
  <c r="K540" i="1" s="1"/>
  <c r="J532" i="1"/>
  <c r="K532" i="1" s="1"/>
  <c r="J524" i="1"/>
  <c r="K524" i="1" s="1"/>
  <c r="J516" i="1"/>
  <c r="K516" i="1" s="1"/>
  <c r="J508" i="1"/>
  <c r="K508" i="1" s="1"/>
  <c r="J500" i="1"/>
  <c r="K500" i="1" s="1"/>
  <c r="J492" i="1"/>
  <c r="K492" i="1" s="1"/>
  <c r="J484" i="1"/>
  <c r="K484" i="1" s="1"/>
  <c r="J476" i="1"/>
  <c r="K476" i="1" s="1"/>
  <c r="J468" i="1"/>
  <c r="K468" i="1" s="1"/>
  <c r="J460" i="1"/>
  <c r="K460" i="1" s="1"/>
  <c r="J452" i="1"/>
  <c r="K452" i="1" s="1"/>
  <c r="J444" i="1"/>
  <c r="K444" i="1" s="1"/>
  <c r="J436" i="1"/>
  <c r="K436" i="1" s="1"/>
  <c r="J428" i="1"/>
  <c r="K428" i="1" s="1"/>
  <c r="J420" i="1"/>
  <c r="K420" i="1" s="1"/>
  <c r="J412" i="1"/>
  <c r="K412" i="1" s="1"/>
  <c r="J404" i="1"/>
  <c r="K404" i="1" s="1"/>
  <c r="J396" i="1"/>
  <c r="K396" i="1" s="1"/>
  <c r="J388" i="1"/>
  <c r="K388" i="1" s="1"/>
  <c r="J380" i="1"/>
  <c r="K380" i="1" s="1"/>
  <c r="J372" i="1"/>
  <c r="K372" i="1" s="1"/>
  <c r="J364" i="1"/>
  <c r="K364" i="1" s="1"/>
  <c r="J356" i="1"/>
  <c r="K356" i="1" s="1"/>
  <c r="J348" i="1"/>
  <c r="K348" i="1" s="1"/>
  <c r="J340" i="1"/>
  <c r="K340" i="1" s="1"/>
  <c r="J332" i="1"/>
  <c r="K332" i="1" s="1"/>
  <c r="J324" i="1"/>
  <c r="K324" i="1" s="1"/>
  <c r="J316" i="1"/>
  <c r="K316" i="1" s="1"/>
  <c r="J308" i="1"/>
  <c r="K308" i="1" s="1"/>
  <c r="J300" i="1"/>
  <c r="K300" i="1" s="1"/>
  <c r="J292" i="1"/>
  <c r="K292" i="1" s="1"/>
  <c r="J284" i="1"/>
  <c r="K284" i="1" s="1"/>
  <c r="J276" i="1"/>
  <c r="K276" i="1" s="1"/>
  <c r="J268" i="1"/>
  <c r="K268" i="1" s="1"/>
  <c r="J260" i="1"/>
  <c r="K260" i="1" s="1"/>
  <c r="J252" i="1"/>
  <c r="K252" i="1" s="1"/>
  <c r="J244" i="1"/>
  <c r="K244" i="1" s="1"/>
  <c r="J236" i="1"/>
  <c r="K236" i="1" s="1"/>
  <c r="J228" i="1"/>
  <c r="K228" i="1" s="1"/>
  <c r="J220" i="1"/>
  <c r="K220" i="1" s="1"/>
  <c r="J212" i="1"/>
  <c r="K212" i="1" s="1"/>
  <c r="J204" i="1"/>
  <c r="K204" i="1" s="1"/>
  <c r="J196" i="1"/>
  <c r="K196" i="1" s="1"/>
  <c r="J188" i="1"/>
  <c r="K188" i="1" s="1"/>
  <c r="J180" i="1"/>
  <c r="K180" i="1" s="1"/>
  <c r="J172" i="1"/>
  <c r="K172" i="1" s="1"/>
  <c r="J164" i="1"/>
  <c r="K164" i="1" s="1"/>
  <c r="J156" i="1"/>
  <c r="K156" i="1" s="1"/>
  <c r="J148" i="1"/>
  <c r="K148" i="1" s="1"/>
  <c r="J140" i="1"/>
  <c r="K140" i="1" s="1"/>
  <c r="J132" i="1"/>
  <c r="K132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76" i="1"/>
  <c r="K76" i="1" s="1"/>
  <c r="J68" i="1"/>
  <c r="K68" i="1" s="1"/>
  <c r="J60" i="1"/>
  <c r="K60" i="1" s="1"/>
  <c r="J52" i="1"/>
  <c r="K52" i="1" s="1"/>
  <c r="J44" i="1"/>
  <c r="K44" i="1" s="1"/>
  <c r="J36" i="1"/>
  <c r="K36" i="1" s="1"/>
  <c r="J28" i="1"/>
  <c r="K28" i="1" s="1"/>
  <c r="J20" i="1"/>
  <c r="K20" i="1" s="1"/>
  <c r="J12" i="1"/>
  <c r="K12" i="1" s="1"/>
  <c r="J4" i="1"/>
  <c r="K4" i="1" s="1"/>
  <c r="J251" i="1"/>
  <c r="K251" i="1" s="1"/>
  <c r="J243" i="1"/>
  <c r="K243" i="1" s="1"/>
  <c r="J235" i="1"/>
  <c r="K235" i="1" s="1"/>
  <c r="J227" i="1"/>
  <c r="K227" i="1" s="1"/>
  <c r="J219" i="1"/>
  <c r="K219" i="1" s="1"/>
  <c r="J211" i="1"/>
  <c r="K211" i="1" s="1"/>
  <c r="J203" i="1"/>
  <c r="K203" i="1" s="1"/>
  <c r="J195" i="1"/>
  <c r="K195" i="1" s="1"/>
  <c r="J187" i="1"/>
  <c r="K187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31" i="1"/>
  <c r="K131" i="1" s="1"/>
  <c r="J123" i="1"/>
  <c r="K123" i="1" s="1"/>
  <c r="J115" i="1"/>
  <c r="K115" i="1" s="1"/>
  <c r="J107" i="1"/>
  <c r="K107" i="1" s="1"/>
  <c r="J99" i="1"/>
  <c r="K99" i="1" s="1"/>
  <c r="J91" i="1"/>
  <c r="K91" i="1" s="1"/>
  <c r="J83" i="1"/>
  <c r="K83" i="1" s="1"/>
  <c r="J75" i="1"/>
  <c r="K75" i="1" s="1"/>
  <c r="J67" i="1"/>
  <c r="K67" i="1" s="1"/>
  <c r="J59" i="1"/>
  <c r="K59" i="1" s="1"/>
  <c r="J51" i="1"/>
  <c r="K51" i="1" s="1"/>
  <c r="J43" i="1"/>
  <c r="K43" i="1" s="1"/>
  <c r="J35" i="1"/>
  <c r="K35" i="1" s="1"/>
  <c r="J27" i="1"/>
  <c r="K27" i="1" s="1"/>
  <c r="J19" i="1"/>
  <c r="K19" i="1" s="1"/>
  <c r="J11" i="1"/>
  <c r="K11" i="1" s="1"/>
  <c r="J3" i="1"/>
  <c r="K3" i="1" s="1"/>
  <c r="J33" i="5"/>
  <c r="J22" i="5"/>
  <c r="J32" i="5"/>
  <c r="E17" i="5"/>
  <c r="I148" i="1"/>
  <c r="H34" i="5"/>
  <c r="I3" i="1"/>
  <c r="I92" i="1"/>
  <c r="I274" i="1"/>
  <c r="I846" i="1"/>
  <c r="I381" i="1"/>
  <c r="I591" i="1"/>
  <c r="I237" i="1"/>
  <c r="I585" i="1"/>
  <c r="I219" i="1"/>
  <c r="I801" i="1"/>
  <c r="I525" i="1"/>
  <c r="I153" i="1"/>
  <c r="I795" i="1"/>
  <c r="I519" i="1"/>
  <c r="I87" i="1"/>
  <c r="I750" i="1"/>
  <c r="I802" i="1"/>
  <c r="I735" i="1"/>
  <c r="I652" i="1"/>
  <c r="I579" i="1"/>
  <c r="I297" i="1"/>
  <c r="I21" i="1"/>
  <c r="I375" i="1"/>
  <c r="I231" i="1"/>
  <c r="I851" i="1"/>
  <c r="I814" i="1"/>
  <c r="I730" i="1"/>
  <c r="I663" i="1"/>
  <c r="I518" i="1"/>
  <c r="I440" i="1"/>
  <c r="I310" i="1"/>
  <c r="I292" i="1"/>
  <c r="I230" i="1"/>
  <c r="I165" i="1"/>
  <c r="I147" i="1"/>
  <c r="I82" i="1"/>
  <c r="I15" i="1"/>
  <c r="I185" i="1"/>
  <c r="I813" i="1"/>
  <c r="I742" i="1"/>
  <c r="I729" i="1"/>
  <c r="I514" i="1"/>
  <c r="I454" i="1"/>
  <c r="I436" i="1"/>
  <c r="I370" i="1"/>
  <c r="I309" i="1"/>
  <c r="I291" i="1"/>
  <c r="I226" i="1"/>
  <c r="I81" i="1"/>
  <c r="I14" i="1"/>
  <c r="I580" i="1"/>
  <c r="I298" i="1"/>
  <c r="I734" i="1"/>
  <c r="I731" i="1"/>
  <c r="I812" i="1"/>
  <c r="I796" i="1"/>
  <c r="I741" i="1"/>
  <c r="I728" i="1"/>
  <c r="I658" i="1"/>
  <c r="I586" i="1"/>
  <c r="I513" i="1"/>
  <c r="I453" i="1"/>
  <c r="I435" i="1"/>
  <c r="I369" i="1"/>
  <c r="I290" i="1"/>
  <c r="I225" i="1"/>
  <c r="I159" i="1"/>
  <c r="I9" i="1"/>
  <c r="I434" i="1"/>
  <c r="I368" i="1"/>
  <c r="I303" i="1"/>
  <c r="I93" i="1"/>
  <c r="I76" i="1"/>
  <c r="I2" i="1"/>
  <c r="H2" i="1" s="1"/>
  <c r="I740" i="1"/>
  <c r="I670" i="1"/>
  <c r="I601" i="1"/>
  <c r="I604" i="1"/>
  <c r="I807" i="1"/>
  <c r="I724" i="1"/>
  <c r="I669" i="1"/>
  <c r="I656" i="1"/>
  <c r="I598" i="1"/>
  <c r="I526" i="1"/>
  <c r="I508" i="1"/>
  <c r="I447" i="1"/>
  <c r="I382" i="1"/>
  <c r="I364" i="1"/>
  <c r="I302" i="1"/>
  <c r="I238" i="1"/>
  <c r="I220" i="1"/>
  <c r="I154" i="1"/>
  <c r="I75" i="1"/>
  <c r="I300" i="1"/>
  <c r="I162" i="1"/>
  <c r="I444" i="1"/>
  <c r="I390" i="1"/>
  <c r="I810" i="1"/>
  <c r="I691" i="1"/>
  <c r="I582" i="1"/>
  <c r="I780" i="1"/>
  <c r="I763" i="1"/>
  <c r="I660" i="1"/>
  <c r="I835" i="1"/>
  <c r="I732" i="1"/>
  <c r="I438" i="1"/>
  <c r="I804" i="1"/>
  <c r="I643" i="1"/>
  <c r="I450" i="1"/>
  <c r="I246" i="1"/>
  <c r="I522" i="1"/>
  <c r="I466" i="1"/>
  <c r="I316" i="1"/>
  <c r="I234" i="1"/>
  <c r="I178" i="1"/>
  <c r="I150" i="1"/>
  <c r="I258" i="1"/>
  <c r="I394" i="1"/>
  <c r="I820" i="1"/>
  <c r="I748" i="1"/>
  <c r="I676" i="1"/>
  <c r="I516" i="1"/>
  <c r="I366" i="1"/>
  <c r="I228" i="1"/>
  <c r="I610" i="1"/>
  <c r="I570" i="1"/>
  <c r="I474" i="1"/>
  <c r="I460" i="1"/>
  <c r="I378" i="1"/>
  <c r="I172" i="1"/>
  <c r="I156" i="1"/>
  <c r="I12" i="1"/>
  <c r="I294" i="1"/>
  <c r="I862" i="1"/>
  <c r="I803" i="1"/>
  <c r="I755" i="1"/>
  <c r="I659" i="1"/>
  <c r="I646" i="1"/>
  <c r="I594" i="1"/>
  <c r="I402" i="1"/>
  <c r="I388" i="1"/>
  <c r="I306" i="1"/>
  <c r="I250" i="1"/>
  <c r="I106" i="1"/>
  <c r="I90" i="1"/>
  <c r="I42" i="1"/>
  <c r="I778" i="1"/>
  <c r="I682" i="1"/>
  <c r="I606" i="1"/>
  <c r="I550" i="1"/>
  <c r="I510" i="1"/>
  <c r="I372" i="1"/>
  <c r="I318" i="1"/>
  <c r="I222" i="1"/>
  <c r="I10" i="1"/>
  <c r="I809" i="1"/>
  <c r="I793" i="1"/>
  <c r="I785" i="1"/>
  <c r="I737" i="1"/>
  <c r="I721" i="1"/>
  <c r="I697" i="1"/>
  <c r="I689" i="1"/>
  <c r="I665" i="1"/>
  <c r="I649" i="1"/>
  <c r="I625" i="1"/>
  <c r="I617" i="1"/>
  <c r="I593" i="1"/>
  <c r="I577" i="1"/>
  <c r="I553" i="1"/>
  <c r="I545" i="1"/>
  <c r="I521" i="1"/>
  <c r="I505" i="1"/>
  <c r="I481" i="1"/>
  <c r="I473" i="1"/>
  <c r="I449" i="1"/>
  <c r="I433" i="1"/>
  <c r="I409" i="1"/>
  <c r="I401" i="1"/>
  <c r="I377" i="1"/>
  <c r="I361" i="1"/>
  <c r="I337" i="1"/>
  <c r="I329" i="1"/>
  <c r="I305" i="1"/>
  <c r="I289" i="1"/>
  <c r="I265" i="1"/>
  <c r="I233" i="1"/>
  <c r="I217" i="1"/>
  <c r="I209" i="1"/>
  <c r="I193" i="1"/>
  <c r="I161" i="1"/>
  <c r="I145" i="1"/>
  <c r="I121" i="1"/>
  <c r="I89" i="1"/>
  <c r="I73" i="1"/>
  <c r="I49" i="1"/>
  <c r="I17" i="1"/>
  <c r="I18" i="1"/>
  <c r="I865" i="1"/>
  <c r="I833" i="1"/>
  <c r="I761" i="1"/>
  <c r="I832" i="1"/>
  <c r="I816" i="1"/>
  <c r="I808" i="1"/>
  <c r="I792" i="1"/>
  <c r="I768" i="1"/>
  <c r="I760" i="1"/>
  <c r="I744" i="1"/>
  <c r="I736" i="1"/>
  <c r="I672" i="1"/>
  <c r="I664" i="1"/>
  <c r="I648" i="1"/>
  <c r="I616" i="1"/>
  <c r="I600" i="1"/>
  <c r="I592" i="1"/>
  <c r="I544" i="1"/>
  <c r="I528" i="1"/>
  <c r="H528" i="1" s="1"/>
  <c r="I520" i="1"/>
  <c r="I504" i="1"/>
  <c r="I480" i="1"/>
  <c r="I456" i="1"/>
  <c r="I448" i="1"/>
  <c r="I400" i="1"/>
  <c r="I384" i="1"/>
  <c r="I376" i="1"/>
  <c r="I360" i="1"/>
  <c r="I328" i="1"/>
  <c r="I312" i="1"/>
  <c r="I304" i="1"/>
  <c r="I256" i="1"/>
  <c r="I240" i="1"/>
  <c r="I232" i="1"/>
  <c r="I216" i="1"/>
  <c r="I192" i="1"/>
  <c r="I184" i="1"/>
  <c r="I168" i="1"/>
  <c r="H168" i="1" s="1"/>
  <c r="I160" i="1"/>
  <c r="I136" i="1"/>
  <c r="I112" i="1"/>
  <c r="I96" i="1"/>
  <c r="I88" i="1"/>
  <c r="I40" i="1"/>
  <c r="I24" i="1"/>
  <c r="I16" i="1"/>
  <c r="I841" i="1"/>
  <c r="I769" i="1"/>
  <c r="I847" i="1"/>
  <c r="I823" i="1"/>
  <c r="I815" i="1"/>
  <c r="I775" i="1"/>
  <c r="I767" i="1"/>
  <c r="I751" i="1"/>
  <c r="I743" i="1"/>
  <c r="I703" i="1"/>
  <c r="I695" i="1"/>
  <c r="I679" i="1"/>
  <c r="I671" i="1"/>
  <c r="I647" i="1"/>
  <c r="I631" i="1"/>
  <c r="I607" i="1"/>
  <c r="I599" i="1"/>
  <c r="I559" i="1"/>
  <c r="I535" i="1"/>
  <c r="I527" i="1"/>
  <c r="I503" i="1"/>
  <c r="I487" i="1"/>
  <c r="I463" i="1"/>
  <c r="I455" i="1"/>
  <c r="I415" i="1"/>
  <c r="I391" i="1"/>
  <c r="I383" i="1"/>
  <c r="I343" i="1"/>
  <c r="I319" i="1"/>
  <c r="I311" i="1"/>
  <c r="I271" i="1"/>
  <c r="I247" i="1"/>
  <c r="I239" i="1"/>
  <c r="I199" i="1"/>
  <c r="I175" i="1"/>
  <c r="I167" i="1"/>
  <c r="I127" i="1"/>
  <c r="I103" i="1"/>
  <c r="I95" i="1"/>
  <c r="I55" i="1"/>
  <c r="I31" i="1"/>
  <c r="I23" i="1"/>
  <c r="I6" i="1"/>
  <c r="I166" i="1"/>
  <c r="I118" i="1"/>
  <c r="I94" i="1"/>
  <c r="I78" i="1"/>
  <c r="I46" i="1"/>
  <c r="I30" i="1"/>
  <c r="I22" i="1"/>
  <c r="I853" i="1"/>
  <c r="I829" i="1"/>
  <c r="I805" i="1"/>
  <c r="I797" i="1"/>
  <c r="I781" i="1"/>
  <c r="I757" i="1"/>
  <c r="I749" i="1"/>
  <c r="I725" i="1"/>
  <c r="I709" i="1"/>
  <c r="I685" i="1"/>
  <c r="I653" i="1"/>
  <c r="I637" i="1"/>
  <c r="I613" i="1"/>
  <c r="I581" i="1"/>
  <c r="I565" i="1"/>
  <c r="I557" i="1"/>
  <c r="I541" i="1"/>
  <c r="I509" i="1"/>
  <c r="I493" i="1"/>
  <c r="I469" i="1"/>
  <c r="I437" i="1"/>
  <c r="I421" i="1"/>
  <c r="I397" i="1"/>
  <c r="I389" i="1"/>
  <c r="I365" i="1"/>
  <c r="I349" i="1"/>
  <c r="I325" i="1"/>
  <c r="I293" i="1"/>
  <c r="I277" i="1"/>
  <c r="I253" i="1"/>
  <c r="I245" i="1"/>
  <c r="I221" i="1"/>
  <c r="I205" i="1"/>
  <c r="I181" i="1"/>
  <c r="I149" i="1"/>
  <c r="I133" i="1"/>
  <c r="I109" i="1"/>
  <c r="I101" i="1"/>
  <c r="I77" i="1"/>
  <c r="I61" i="1"/>
  <c r="I37" i="1"/>
  <c r="I29" i="1"/>
  <c r="I5" i="1"/>
  <c r="I4" i="1"/>
  <c r="I619" i="1"/>
  <c r="I611" i="1"/>
  <c r="I587" i="1"/>
  <c r="I571" i="1"/>
  <c r="I547" i="1"/>
  <c r="I515" i="1"/>
  <c r="I499" i="1"/>
  <c r="I475" i="1"/>
  <c r="I443" i="1"/>
  <c r="I427" i="1"/>
  <c r="I403" i="1"/>
  <c r="I371" i="1"/>
  <c r="I355" i="1"/>
  <c r="I331" i="1"/>
  <c r="I299" i="1"/>
  <c r="I283" i="1"/>
  <c r="I259" i="1"/>
  <c r="I227" i="1"/>
  <c r="I211" i="1"/>
  <c r="I187" i="1"/>
  <c r="I155" i="1"/>
  <c r="I139" i="1"/>
  <c r="I115" i="1"/>
  <c r="I83" i="1"/>
  <c r="I67" i="1"/>
  <c r="I43" i="1"/>
  <c r="I11" i="1"/>
  <c r="E19" i="5"/>
  <c r="H21" i="5"/>
  <c r="E24" i="5"/>
  <c r="H22" i="5"/>
  <c r="G17" i="5"/>
  <c r="H23" i="5"/>
  <c r="G25" i="5"/>
  <c r="F18" i="5"/>
  <c r="F25" i="5"/>
  <c r="H20" i="5"/>
  <c r="E27" i="5"/>
  <c r="G28" i="5"/>
  <c r="E21" i="5"/>
  <c r="F31" i="5"/>
  <c r="F23" i="5"/>
  <c r="G19" i="5"/>
  <c r="F20" i="5"/>
  <c r="E22" i="5"/>
  <c r="G24" i="5"/>
  <c r="H26" i="5"/>
  <c r="H28" i="5"/>
  <c r="F30" i="5"/>
  <c r="H32" i="5"/>
  <c r="F34" i="5"/>
  <c r="H30" i="5"/>
  <c r="F19" i="5"/>
  <c r="F21" i="5"/>
  <c r="G22" i="5"/>
  <c r="F24" i="5"/>
  <c r="G26" i="5"/>
  <c r="E29" i="5"/>
  <c r="E32" i="5"/>
  <c r="G32" i="5"/>
  <c r="H17" i="5"/>
  <c r="H18" i="5"/>
  <c r="G21" i="5"/>
  <c r="F22" i="5"/>
  <c r="H25" i="5"/>
  <c r="F26" i="5"/>
  <c r="E33" i="5"/>
  <c r="F32" i="5"/>
  <c r="H27" i="5"/>
  <c r="G29" i="5"/>
  <c r="E34" i="5"/>
  <c r="H33" i="5"/>
  <c r="G27" i="5"/>
  <c r="F29" i="5"/>
  <c r="E31" i="5"/>
  <c r="G33" i="5"/>
  <c r="E18" i="5"/>
  <c r="E20" i="5"/>
  <c r="E23" i="5"/>
  <c r="G23" i="5"/>
  <c r="F27" i="5"/>
  <c r="H31" i="5"/>
  <c r="G18" i="5"/>
  <c r="E25" i="5"/>
  <c r="G31" i="5"/>
  <c r="L846" i="1" l="1"/>
  <c r="M846" i="1" s="1"/>
  <c r="H846" i="1"/>
  <c r="L514" i="1"/>
  <c r="M514" i="1" s="1"/>
  <c r="H514" i="1"/>
  <c r="H743" i="1"/>
  <c r="L743" i="1"/>
  <c r="M743" i="1" s="1"/>
  <c r="L323" i="1"/>
  <c r="M323" i="1" s="1"/>
  <c r="H3" i="1"/>
  <c r="L3" i="1"/>
  <c r="M3" i="1" s="1"/>
  <c r="H67" i="1"/>
  <c r="L67" i="1"/>
  <c r="M67" i="1" s="1"/>
  <c r="L131" i="1"/>
  <c r="M131" i="1" s="1"/>
  <c r="L195" i="1"/>
  <c r="M195" i="1" s="1"/>
  <c r="L4" i="1"/>
  <c r="M4" i="1" s="1"/>
  <c r="H4" i="1"/>
  <c r="L68" i="1"/>
  <c r="M68" i="1" s="1"/>
  <c r="L132" i="1"/>
  <c r="M132" i="1" s="1"/>
  <c r="L196" i="1"/>
  <c r="M196" i="1" s="1"/>
  <c r="L260" i="1"/>
  <c r="M260" i="1" s="1"/>
  <c r="L324" i="1"/>
  <c r="M324" i="1" s="1"/>
  <c r="L388" i="1"/>
  <c r="M388" i="1" s="1"/>
  <c r="H388" i="1"/>
  <c r="L452" i="1"/>
  <c r="M452" i="1" s="1"/>
  <c r="L516" i="1"/>
  <c r="M516" i="1" s="1"/>
  <c r="H516" i="1"/>
  <c r="L580" i="1"/>
  <c r="M580" i="1" s="1"/>
  <c r="H580" i="1"/>
  <c r="L45" i="1"/>
  <c r="M45" i="1" s="1"/>
  <c r="L109" i="1"/>
  <c r="M109" i="1" s="1"/>
  <c r="H109" i="1"/>
  <c r="L173" i="1"/>
  <c r="M173" i="1" s="1"/>
  <c r="L237" i="1"/>
  <c r="M237" i="1" s="1"/>
  <c r="H237" i="1"/>
  <c r="L301" i="1"/>
  <c r="M301" i="1" s="1"/>
  <c r="L365" i="1"/>
  <c r="M365" i="1" s="1"/>
  <c r="H365" i="1"/>
  <c r="L429" i="1"/>
  <c r="M429" i="1" s="1"/>
  <c r="L493" i="1"/>
  <c r="M493" i="1" s="1"/>
  <c r="H493" i="1"/>
  <c r="L557" i="1"/>
  <c r="M557" i="1" s="1"/>
  <c r="H557" i="1"/>
  <c r="L621" i="1"/>
  <c r="M621" i="1" s="1"/>
  <c r="L38" i="1"/>
  <c r="M38" i="1" s="1"/>
  <c r="L102" i="1"/>
  <c r="M102" i="1" s="1"/>
  <c r="L166" i="1"/>
  <c r="M166" i="1" s="1"/>
  <c r="H166" i="1"/>
  <c r="L230" i="1"/>
  <c r="M230" i="1" s="1"/>
  <c r="H230" i="1"/>
  <c r="L31" i="1"/>
  <c r="M31" i="1" s="1"/>
  <c r="H31" i="1"/>
  <c r="L95" i="1"/>
  <c r="M95" i="1" s="1"/>
  <c r="H95" i="1"/>
  <c r="L159" i="1"/>
  <c r="M159" i="1" s="1"/>
  <c r="H159" i="1"/>
  <c r="L223" i="1"/>
  <c r="M223" i="1" s="1"/>
  <c r="L287" i="1"/>
  <c r="M287" i="1" s="1"/>
  <c r="L351" i="1"/>
  <c r="M351" i="1" s="1"/>
  <c r="L415" i="1"/>
  <c r="M415" i="1" s="1"/>
  <c r="H415" i="1"/>
  <c r="L479" i="1"/>
  <c r="M479" i="1" s="1"/>
  <c r="L543" i="1"/>
  <c r="M543" i="1" s="1"/>
  <c r="H607" i="1"/>
  <c r="L607" i="1"/>
  <c r="M607" i="1" s="1"/>
  <c r="L24" i="1"/>
  <c r="M24" i="1" s="1"/>
  <c r="H24" i="1"/>
  <c r="L88" i="1"/>
  <c r="M88" i="1" s="1"/>
  <c r="H88" i="1"/>
  <c r="L152" i="1"/>
  <c r="M152" i="1" s="1"/>
  <c r="L224" i="1"/>
  <c r="M224" i="1" s="1"/>
  <c r="L288" i="1"/>
  <c r="M288" i="1" s="1"/>
  <c r="L352" i="1"/>
  <c r="M352" i="1" s="1"/>
  <c r="L424" i="1"/>
  <c r="M424" i="1" s="1"/>
  <c r="L488" i="1"/>
  <c r="M488" i="1" s="1"/>
  <c r="L732" i="1"/>
  <c r="M732" i="1" s="1"/>
  <c r="H732" i="1"/>
  <c r="L628" i="1"/>
  <c r="M628" i="1" s="1"/>
  <c r="L584" i="1"/>
  <c r="M584" i="1" s="1"/>
  <c r="L816" i="1"/>
  <c r="M816" i="1" s="1"/>
  <c r="H816" i="1"/>
  <c r="L529" i="1"/>
  <c r="M529" i="1" s="1"/>
  <c r="L106" i="1"/>
  <c r="M106" i="1" s="1"/>
  <c r="H106" i="1"/>
  <c r="L466" i="1"/>
  <c r="M466" i="1" s="1"/>
  <c r="H466" i="1"/>
  <c r="L802" i="1"/>
  <c r="M802" i="1" s="1"/>
  <c r="H802" i="1"/>
  <c r="L571" i="1"/>
  <c r="M571" i="1" s="1"/>
  <c r="H571" i="1"/>
  <c r="L65" i="1"/>
  <c r="M65" i="1" s="1"/>
  <c r="L861" i="1"/>
  <c r="M861" i="1" s="1"/>
  <c r="L672" i="1"/>
  <c r="M672" i="1" s="1"/>
  <c r="H672" i="1"/>
  <c r="L145" i="1"/>
  <c r="M145" i="1" s="1"/>
  <c r="H145" i="1"/>
  <c r="L473" i="1"/>
  <c r="M473" i="1" s="1"/>
  <c r="H473" i="1"/>
  <c r="L841" i="1"/>
  <c r="M841" i="1" s="1"/>
  <c r="H841" i="1"/>
  <c r="L836" i="1"/>
  <c r="M836" i="1" s="1"/>
  <c r="L326" i="1"/>
  <c r="M326" i="1" s="1"/>
  <c r="H390" i="1"/>
  <c r="L390" i="1"/>
  <c r="M390" i="1" s="1"/>
  <c r="H454" i="1"/>
  <c r="L454" i="1"/>
  <c r="M454" i="1" s="1"/>
  <c r="H518" i="1"/>
  <c r="L518" i="1"/>
  <c r="M518" i="1" s="1"/>
  <c r="H582" i="1"/>
  <c r="L582" i="1"/>
  <c r="M582" i="1" s="1"/>
  <c r="L646" i="1"/>
  <c r="M646" i="1" s="1"/>
  <c r="H646" i="1"/>
  <c r="L710" i="1"/>
  <c r="M710" i="1" s="1"/>
  <c r="L774" i="1"/>
  <c r="M774" i="1" s="1"/>
  <c r="L838" i="1"/>
  <c r="M838" i="1" s="1"/>
  <c r="L624" i="1"/>
  <c r="M624" i="1" s="1"/>
  <c r="L169" i="1"/>
  <c r="M169" i="1" s="1"/>
  <c r="L545" i="1"/>
  <c r="M545" i="1" s="1"/>
  <c r="H545" i="1"/>
  <c r="L777" i="1"/>
  <c r="M777" i="1" s="1"/>
  <c r="L186" i="1"/>
  <c r="M186" i="1" s="1"/>
  <c r="L490" i="1"/>
  <c r="M490" i="1" s="1"/>
  <c r="L786" i="1"/>
  <c r="M786" i="1" s="1"/>
  <c r="L363" i="1"/>
  <c r="M363" i="1" s="1"/>
  <c r="L627" i="1"/>
  <c r="M627" i="1" s="1"/>
  <c r="L641" i="1"/>
  <c r="M641" i="1" s="1"/>
  <c r="H671" i="1"/>
  <c r="L671" i="1"/>
  <c r="M671" i="1" s="1"/>
  <c r="L735" i="1"/>
  <c r="M735" i="1" s="1"/>
  <c r="H735" i="1"/>
  <c r="L799" i="1"/>
  <c r="M799" i="1" s="1"/>
  <c r="L863" i="1"/>
  <c r="M863" i="1" s="1"/>
  <c r="L752" i="1"/>
  <c r="M752" i="1" s="1"/>
  <c r="L401" i="1"/>
  <c r="M401" i="1" s="1"/>
  <c r="H401" i="1"/>
  <c r="L66" i="1"/>
  <c r="M66" i="1" s="1"/>
  <c r="L394" i="1"/>
  <c r="M394" i="1" s="1"/>
  <c r="H394" i="1"/>
  <c r="L690" i="1"/>
  <c r="M690" i="1" s="1"/>
  <c r="L609" i="1"/>
  <c r="M609" i="1" s="1"/>
  <c r="L178" i="1"/>
  <c r="M178" i="1" s="1"/>
  <c r="H178" i="1"/>
  <c r="L498" i="1"/>
  <c r="M498" i="1" s="1"/>
  <c r="L826" i="1"/>
  <c r="M826" i="1" s="1"/>
  <c r="L859" i="1"/>
  <c r="M859" i="1" s="1"/>
  <c r="L845" i="1"/>
  <c r="M845" i="1" s="1"/>
  <c r="L97" i="1"/>
  <c r="M97" i="1" s="1"/>
  <c r="L537" i="1"/>
  <c r="M537" i="1" s="1"/>
  <c r="L122" i="1"/>
  <c r="M122" i="1" s="1"/>
  <c r="L442" i="1"/>
  <c r="M442" i="1" s="1"/>
  <c r="L794" i="1"/>
  <c r="M794" i="1" s="1"/>
  <c r="L411" i="1"/>
  <c r="M411" i="1" s="1"/>
  <c r="L675" i="1"/>
  <c r="M675" i="1" s="1"/>
  <c r="H403" i="1"/>
  <c r="L403" i="1"/>
  <c r="M403" i="1" s="1"/>
  <c r="L699" i="1"/>
  <c r="M699" i="1" s="1"/>
  <c r="L257" i="1"/>
  <c r="M257" i="1" s="1"/>
  <c r="L844" i="1"/>
  <c r="M844" i="1" s="1"/>
  <c r="L788" i="1"/>
  <c r="M788" i="1" s="1"/>
  <c r="L203" i="1"/>
  <c r="M203" i="1" s="1"/>
  <c r="L268" i="1"/>
  <c r="M268" i="1" s="1"/>
  <c r="L53" i="1"/>
  <c r="M53" i="1" s="1"/>
  <c r="L437" i="1"/>
  <c r="M437" i="1" s="1"/>
  <c r="H437" i="1"/>
  <c r="L238" i="1"/>
  <c r="M238" i="1" s="1"/>
  <c r="H238" i="1"/>
  <c r="L423" i="1"/>
  <c r="M423" i="1" s="1"/>
  <c r="L160" i="1"/>
  <c r="M160" i="1" s="1"/>
  <c r="H160" i="1"/>
  <c r="L848" i="1"/>
  <c r="M848" i="1" s="1"/>
  <c r="L850" i="1"/>
  <c r="M850" i="1" s="1"/>
  <c r="L153" i="1"/>
  <c r="M153" i="1" s="1"/>
  <c r="H153" i="1"/>
  <c r="L398" i="1"/>
  <c r="M398" i="1" s="1"/>
  <c r="L526" i="1"/>
  <c r="M526" i="1" s="1"/>
  <c r="H526" i="1"/>
  <c r="L782" i="1"/>
  <c r="M782" i="1" s="1"/>
  <c r="L825" i="1"/>
  <c r="M825" i="1" s="1"/>
  <c r="L667" i="1"/>
  <c r="M667" i="1" s="1"/>
  <c r="L185" i="1"/>
  <c r="M185" i="1" s="1"/>
  <c r="H185" i="1"/>
  <c r="L434" i="1"/>
  <c r="M434" i="1" s="1"/>
  <c r="H434" i="1"/>
  <c r="L538" i="1"/>
  <c r="M538" i="1" s="1"/>
  <c r="L673" i="1"/>
  <c r="M673" i="1" s="1"/>
  <c r="L427" i="1"/>
  <c r="M427" i="1" s="1"/>
  <c r="H427" i="1"/>
  <c r="L684" i="1"/>
  <c r="M684" i="1" s="1"/>
  <c r="L147" i="1"/>
  <c r="M147" i="1" s="1"/>
  <c r="H147" i="1"/>
  <c r="L212" i="1"/>
  <c r="M212" i="1" s="1"/>
  <c r="L532" i="1"/>
  <c r="M532" i="1" s="1"/>
  <c r="L317" i="1"/>
  <c r="M317" i="1" s="1"/>
  <c r="L118" i="1"/>
  <c r="M118" i="1" s="1"/>
  <c r="H118" i="1"/>
  <c r="L175" i="1"/>
  <c r="M175" i="1" s="1"/>
  <c r="H175" i="1"/>
  <c r="L367" i="1"/>
  <c r="M367" i="1" s="1"/>
  <c r="L40" i="1"/>
  <c r="M40" i="1" s="1"/>
  <c r="H40" i="1"/>
  <c r="L440" i="1"/>
  <c r="M440" i="1" s="1"/>
  <c r="H440" i="1"/>
  <c r="L689" i="1"/>
  <c r="M689" i="1" s="1"/>
  <c r="H689" i="1"/>
  <c r="L577" i="1"/>
  <c r="M577" i="1" s="1"/>
  <c r="H577" i="1"/>
  <c r="H377" i="1"/>
  <c r="L377" i="1"/>
  <c r="M377" i="1" s="1"/>
  <c r="L470" i="1"/>
  <c r="M470" i="1" s="1"/>
  <c r="H598" i="1"/>
  <c r="L598" i="1"/>
  <c r="M598" i="1" s="1"/>
  <c r="L854" i="1"/>
  <c r="M854" i="1" s="1"/>
  <c r="L585" i="1"/>
  <c r="M585" i="1" s="1"/>
  <c r="H585" i="1"/>
  <c r="H258" i="1"/>
  <c r="L258" i="1"/>
  <c r="M258" i="1" s="1"/>
  <c r="L842" i="1"/>
  <c r="M842" i="1" s="1"/>
  <c r="L741" i="1"/>
  <c r="M741" i="1" s="1"/>
  <c r="H741" i="1"/>
  <c r="H751" i="1"/>
  <c r="L751" i="1"/>
  <c r="M751" i="1" s="1"/>
  <c r="L441" i="1"/>
  <c r="M441" i="1" s="1"/>
  <c r="L481" i="1"/>
  <c r="M481" i="1" s="1"/>
  <c r="H481" i="1"/>
  <c r="L474" i="1"/>
  <c r="M474" i="1" s="1"/>
  <c r="H474" i="1"/>
  <c r="L809" i="1"/>
  <c r="M809" i="1" s="1"/>
  <c r="H809" i="1"/>
  <c r="L570" i="1"/>
  <c r="M570" i="1" s="1"/>
  <c r="H570" i="1"/>
  <c r="L449" i="1"/>
  <c r="M449" i="1" s="1"/>
  <c r="H449" i="1"/>
  <c r="L113" i="1"/>
  <c r="M113" i="1" s="1"/>
  <c r="L202" i="1"/>
  <c r="M202" i="1" s="1"/>
  <c r="L530" i="1"/>
  <c r="M530" i="1" s="1"/>
  <c r="L459" i="1"/>
  <c r="M459" i="1" s="1"/>
  <c r="L483" i="1"/>
  <c r="M483" i="1" s="1"/>
  <c r="L820" i="1"/>
  <c r="M820" i="1" s="1"/>
  <c r="H820" i="1"/>
  <c r="L789" i="1"/>
  <c r="M789" i="1" s="1"/>
  <c r="L27" i="1"/>
  <c r="M27" i="1" s="1"/>
  <c r="L91" i="1"/>
  <c r="M91" i="1" s="1"/>
  <c r="L155" i="1"/>
  <c r="M155" i="1" s="1"/>
  <c r="H155" i="1"/>
  <c r="L219" i="1"/>
  <c r="M219" i="1" s="1"/>
  <c r="H219" i="1"/>
  <c r="L28" i="1"/>
  <c r="M28" i="1" s="1"/>
  <c r="L92" i="1"/>
  <c r="M92" i="1" s="1"/>
  <c r="H92" i="1"/>
  <c r="L156" i="1"/>
  <c r="M156" i="1" s="1"/>
  <c r="H156" i="1"/>
  <c r="L220" i="1"/>
  <c r="M220" i="1" s="1"/>
  <c r="H220" i="1"/>
  <c r="L284" i="1"/>
  <c r="M284" i="1" s="1"/>
  <c r="L348" i="1"/>
  <c r="M348" i="1" s="1"/>
  <c r="L412" i="1"/>
  <c r="M412" i="1" s="1"/>
  <c r="L476" i="1"/>
  <c r="M476" i="1" s="1"/>
  <c r="L540" i="1"/>
  <c r="M540" i="1" s="1"/>
  <c r="L5" i="1"/>
  <c r="M5" i="1" s="1"/>
  <c r="H5" i="1"/>
  <c r="L69" i="1"/>
  <c r="M69" i="1" s="1"/>
  <c r="L133" i="1"/>
  <c r="M133" i="1" s="1"/>
  <c r="H133" i="1"/>
  <c r="L197" i="1"/>
  <c r="M197" i="1" s="1"/>
  <c r="L261" i="1"/>
  <c r="M261" i="1" s="1"/>
  <c r="L325" i="1"/>
  <c r="M325" i="1" s="1"/>
  <c r="H325" i="1"/>
  <c r="L389" i="1"/>
  <c r="M389" i="1" s="1"/>
  <c r="H389" i="1"/>
  <c r="L453" i="1"/>
  <c r="M453" i="1" s="1"/>
  <c r="H453" i="1"/>
  <c r="L517" i="1"/>
  <c r="M517" i="1" s="1"/>
  <c r="L581" i="1"/>
  <c r="M581" i="1" s="1"/>
  <c r="H581" i="1"/>
  <c r="L645" i="1"/>
  <c r="M645" i="1" s="1"/>
  <c r="L62" i="1"/>
  <c r="M62" i="1" s="1"/>
  <c r="L126" i="1"/>
  <c r="M126" i="1" s="1"/>
  <c r="L190" i="1"/>
  <c r="M190" i="1" s="1"/>
  <c r="L254" i="1"/>
  <c r="M254" i="1" s="1"/>
  <c r="L55" i="1"/>
  <c r="M55" i="1" s="1"/>
  <c r="H55" i="1"/>
  <c r="L119" i="1"/>
  <c r="M119" i="1" s="1"/>
  <c r="L183" i="1"/>
  <c r="M183" i="1" s="1"/>
  <c r="L247" i="1"/>
  <c r="M247" i="1" s="1"/>
  <c r="H247" i="1"/>
  <c r="L311" i="1"/>
  <c r="M311" i="1" s="1"/>
  <c r="H311" i="1"/>
  <c r="L375" i="1"/>
  <c r="M375" i="1" s="1"/>
  <c r="H375" i="1"/>
  <c r="L439" i="1"/>
  <c r="M439" i="1" s="1"/>
  <c r="H503" i="1"/>
  <c r="L503" i="1"/>
  <c r="M503" i="1" s="1"/>
  <c r="L567" i="1"/>
  <c r="M567" i="1" s="1"/>
  <c r="H631" i="1"/>
  <c r="L631" i="1"/>
  <c r="M631" i="1" s="1"/>
  <c r="L48" i="1"/>
  <c r="M48" i="1" s="1"/>
  <c r="L112" i="1"/>
  <c r="M112" i="1" s="1"/>
  <c r="H112" i="1"/>
  <c r="L184" i="1"/>
  <c r="M184" i="1" s="1"/>
  <c r="H184" i="1"/>
  <c r="L248" i="1"/>
  <c r="M248" i="1" s="1"/>
  <c r="L312" i="1"/>
  <c r="M312" i="1" s="1"/>
  <c r="H312" i="1"/>
  <c r="H376" i="1"/>
  <c r="L376" i="1"/>
  <c r="M376" i="1" s="1"/>
  <c r="L448" i="1"/>
  <c r="M448" i="1" s="1"/>
  <c r="H448" i="1"/>
  <c r="L512" i="1"/>
  <c r="M512" i="1" s="1"/>
  <c r="L828" i="1"/>
  <c r="M828" i="1" s="1"/>
  <c r="L652" i="1"/>
  <c r="M652" i="1" s="1"/>
  <c r="H652" i="1"/>
  <c r="L664" i="1"/>
  <c r="M664" i="1" s="1"/>
  <c r="H664" i="1"/>
  <c r="L273" i="1"/>
  <c r="M273" i="1" s="1"/>
  <c r="L721" i="1"/>
  <c r="M721" i="1" s="1"/>
  <c r="H721" i="1"/>
  <c r="L242" i="1"/>
  <c r="M242" i="1" s="1"/>
  <c r="L594" i="1"/>
  <c r="M594" i="1" s="1"/>
  <c r="H594" i="1"/>
  <c r="L395" i="1"/>
  <c r="M395" i="1" s="1"/>
  <c r="L683" i="1"/>
  <c r="M683" i="1" s="1"/>
  <c r="L701" i="1"/>
  <c r="M701" i="1" s="1"/>
  <c r="L669" i="1"/>
  <c r="M669" i="1" s="1"/>
  <c r="H669" i="1"/>
  <c r="L792" i="1"/>
  <c r="M792" i="1" s="1"/>
  <c r="H792" i="1"/>
  <c r="L209" i="1"/>
  <c r="M209" i="1" s="1"/>
  <c r="H209" i="1"/>
  <c r="L625" i="1"/>
  <c r="M625" i="1" s="1"/>
  <c r="H625" i="1"/>
  <c r="L633" i="1"/>
  <c r="M633" i="1" s="1"/>
  <c r="L286" i="1"/>
  <c r="M286" i="1" s="1"/>
  <c r="L350" i="1"/>
  <c r="M350" i="1" s="1"/>
  <c r="L414" i="1"/>
  <c r="M414" i="1" s="1"/>
  <c r="L478" i="1"/>
  <c r="M478" i="1" s="1"/>
  <c r="L542" i="1"/>
  <c r="M542" i="1" s="1"/>
  <c r="H606" i="1"/>
  <c r="L606" i="1"/>
  <c r="M606" i="1" s="1"/>
  <c r="H670" i="1"/>
  <c r="L670" i="1"/>
  <c r="M670" i="1" s="1"/>
  <c r="L734" i="1"/>
  <c r="M734" i="1" s="1"/>
  <c r="H734" i="1"/>
  <c r="L798" i="1"/>
  <c r="M798" i="1" s="1"/>
  <c r="L862" i="1"/>
  <c r="M862" i="1" s="1"/>
  <c r="H862" i="1"/>
  <c r="L712" i="1"/>
  <c r="M712" i="1" s="1"/>
  <c r="L353" i="1"/>
  <c r="M353" i="1" s="1"/>
  <c r="L617" i="1"/>
  <c r="M617" i="1" s="1"/>
  <c r="H617" i="1"/>
  <c r="H10" i="1"/>
  <c r="L10" i="1"/>
  <c r="M10" i="1" s="1"/>
  <c r="H298" i="1"/>
  <c r="L298" i="1"/>
  <c r="M298" i="1" s="1"/>
  <c r="L610" i="1"/>
  <c r="M610" i="1" s="1"/>
  <c r="H610" i="1"/>
  <c r="L267" i="1"/>
  <c r="M267" i="1" s="1"/>
  <c r="L443" i="1"/>
  <c r="M443" i="1" s="1"/>
  <c r="H443" i="1"/>
  <c r="L747" i="1"/>
  <c r="M747" i="1" s="1"/>
  <c r="L773" i="1"/>
  <c r="M773" i="1" s="1"/>
  <c r="L695" i="1"/>
  <c r="M695" i="1" s="1"/>
  <c r="H695" i="1"/>
  <c r="L759" i="1"/>
  <c r="M759" i="1" s="1"/>
  <c r="H823" i="1"/>
  <c r="L823" i="1"/>
  <c r="M823" i="1" s="1"/>
  <c r="L576" i="1"/>
  <c r="M576" i="1" s="1"/>
  <c r="L832" i="1"/>
  <c r="M832" i="1" s="1"/>
  <c r="H832" i="1"/>
  <c r="L601" i="1"/>
  <c r="M601" i="1" s="1"/>
  <c r="H601" i="1"/>
  <c r="L194" i="1"/>
  <c r="M194" i="1" s="1"/>
  <c r="L506" i="1"/>
  <c r="M506" i="1" s="1"/>
  <c r="H810" i="1"/>
  <c r="L810" i="1"/>
  <c r="M810" i="1" s="1"/>
  <c r="L857" i="1"/>
  <c r="M857" i="1" s="1"/>
  <c r="L306" i="1"/>
  <c r="M306" i="1" s="1"/>
  <c r="H306" i="1"/>
  <c r="L602" i="1"/>
  <c r="M602" i="1" s="1"/>
  <c r="L603" i="1"/>
  <c r="M603" i="1" s="1"/>
  <c r="L685" i="1"/>
  <c r="M685" i="1" s="1"/>
  <c r="H685" i="1"/>
  <c r="L25" i="1"/>
  <c r="M25" i="1" s="1"/>
  <c r="L201" i="1"/>
  <c r="M201" i="1" s="1"/>
  <c r="L753" i="1"/>
  <c r="M753" i="1" s="1"/>
  <c r="L250" i="1"/>
  <c r="M250" i="1" s="1"/>
  <c r="H250" i="1"/>
  <c r="L578" i="1"/>
  <c r="M578" i="1" s="1"/>
  <c r="L283" i="1"/>
  <c r="M283" i="1" s="1"/>
  <c r="H283" i="1"/>
  <c r="L491" i="1"/>
  <c r="M491" i="1" s="1"/>
  <c r="L771" i="1"/>
  <c r="M771" i="1" s="1"/>
  <c r="L515" i="1"/>
  <c r="M515" i="1" s="1"/>
  <c r="H515" i="1"/>
  <c r="L819" i="1"/>
  <c r="M819" i="1" s="1"/>
  <c r="L505" i="1"/>
  <c r="M505" i="1" s="1"/>
  <c r="H505" i="1"/>
  <c r="L852" i="1"/>
  <c r="M852" i="1" s="1"/>
  <c r="L75" i="1"/>
  <c r="M75" i="1" s="1"/>
  <c r="H75" i="1"/>
  <c r="L140" i="1"/>
  <c r="M140" i="1" s="1"/>
  <c r="L396" i="1"/>
  <c r="M396" i="1" s="1"/>
  <c r="L117" i="1"/>
  <c r="M117" i="1" s="1"/>
  <c r="L501" i="1"/>
  <c r="M501" i="1" s="1"/>
  <c r="L174" i="1"/>
  <c r="M174" i="1" s="1"/>
  <c r="L295" i="1"/>
  <c r="M295" i="1" s="1"/>
  <c r="L615" i="1"/>
  <c r="M615" i="1" s="1"/>
  <c r="L232" i="1"/>
  <c r="M232" i="1" s="1"/>
  <c r="H232" i="1"/>
  <c r="L636" i="1"/>
  <c r="M636" i="1" s="1"/>
  <c r="H162" i="1"/>
  <c r="L162" i="1"/>
  <c r="M162" i="1" s="1"/>
  <c r="L321" i="1"/>
  <c r="M321" i="1" s="1"/>
  <c r="L270" i="1"/>
  <c r="M270" i="1" s="1"/>
  <c r="L654" i="1"/>
  <c r="M654" i="1" s="1"/>
  <c r="L656" i="1"/>
  <c r="M656" i="1" s="1"/>
  <c r="H656" i="1"/>
  <c r="L218" i="1"/>
  <c r="M218" i="1" s="1"/>
  <c r="H679" i="1"/>
  <c r="L679" i="1"/>
  <c r="M679" i="1" s="1"/>
  <c r="L433" i="1"/>
  <c r="M433" i="1" s="1"/>
  <c r="H433" i="1"/>
  <c r="L761" i="1"/>
  <c r="M761" i="1" s="1"/>
  <c r="H761" i="1"/>
  <c r="L105" i="1"/>
  <c r="M105" i="1" s="1"/>
  <c r="L482" i="1"/>
  <c r="M482" i="1" s="1"/>
  <c r="L739" i="1"/>
  <c r="M739" i="1" s="1"/>
  <c r="L716" i="1"/>
  <c r="M716" i="1" s="1"/>
  <c r="H83" i="1"/>
  <c r="L83" i="1"/>
  <c r="M83" i="1" s="1"/>
  <c r="L148" i="1"/>
  <c r="M148" i="1" s="1"/>
  <c r="H148" i="1"/>
  <c r="L468" i="1"/>
  <c r="M468" i="1" s="1"/>
  <c r="L253" i="1"/>
  <c r="M253" i="1" s="1"/>
  <c r="H253" i="1"/>
  <c r="L637" i="1"/>
  <c r="M637" i="1" s="1"/>
  <c r="H637" i="1"/>
  <c r="L47" i="1"/>
  <c r="M47" i="1" s="1"/>
  <c r="L431" i="1"/>
  <c r="M431" i="1" s="1"/>
  <c r="L240" i="1"/>
  <c r="M240" i="1" s="1"/>
  <c r="H240" i="1"/>
  <c r="L796" i="1"/>
  <c r="M796" i="1" s="1"/>
  <c r="H796" i="1"/>
  <c r="L562" i="1"/>
  <c r="M562" i="1" s="1"/>
  <c r="L736" i="1"/>
  <c r="M736" i="1" s="1"/>
  <c r="H736" i="1"/>
  <c r="L406" i="1"/>
  <c r="M406" i="1" s="1"/>
  <c r="L534" i="1"/>
  <c r="M534" i="1" s="1"/>
  <c r="L662" i="1"/>
  <c r="M662" i="1" s="1"/>
  <c r="L241" i="1"/>
  <c r="M241" i="1" s="1"/>
  <c r="L865" i="1"/>
  <c r="M865" i="1" s="1"/>
  <c r="H865" i="1"/>
  <c r="L554" i="1"/>
  <c r="M554" i="1" s="1"/>
  <c r="L419" i="1"/>
  <c r="M419" i="1" s="1"/>
  <c r="L715" i="1"/>
  <c r="M715" i="1" s="1"/>
  <c r="L687" i="1"/>
  <c r="M687" i="1" s="1"/>
  <c r="H815" i="1"/>
  <c r="L815" i="1"/>
  <c r="M815" i="1" s="1"/>
  <c r="L808" i="1"/>
  <c r="M808" i="1" s="1"/>
  <c r="H808" i="1"/>
  <c r="L154" i="1"/>
  <c r="M154" i="1" s="1"/>
  <c r="H154" i="1"/>
  <c r="L762" i="1"/>
  <c r="M762" i="1" s="1"/>
  <c r="L274" i="1"/>
  <c r="M274" i="1" s="1"/>
  <c r="H274" i="1"/>
  <c r="L531" i="1"/>
  <c r="M531" i="1" s="1"/>
  <c r="L17" i="1"/>
  <c r="M17" i="1" s="1"/>
  <c r="H17" i="1"/>
  <c r="L713" i="1"/>
  <c r="M713" i="1" s="1"/>
  <c r="H259" i="1"/>
  <c r="L259" i="1"/>
  <c r="M259" i="1" s="1"/>
  <c r="L731" i="1"/>
  <c r="M731" i="1" s="1"/>
  <c r="H731" i="1"/>
  <c r="L779" i="1"/>
  <c r="M779" i="1" s="1"/>
  <c r="L757" i="1"/>
  <c r="M757" i="1" s="1"/>
  <c r="H757" i="1"/>
  <c r="L35" i="1"/>
  <c r="M35" i="1" s="1"/>
  <c r="L99" i="1"/>
  <c r="M99" i="1" s="1"/>
  <c r="L163" i="1"/>
  <c r="M163" i="1" s="1"/>
  <c r="L227" i="1"/>
  <c r="M227" i="1" s="1"/>
  <c r="H227" i="1"/>
  <c r="L36" i="1"/>
  <c r="M36" i="1" s="1"/>
  <c r="L100" i="1"/>
  <c r="M100" i="1" s="1"/>
  <c r="L164" i="1"/>
  <c r="M164" i="1" s="1"/>
  <c r="L228" i="1"/>
  <c r="M228" i="1" s="1"/>
  <c r="H228" i="1"/>
  <c r="L292" i="1"/>
  <c r="M292" i="1" s="1"/>
  <c r="H292" i="1"/>
  <c r="L356" i="1"/>
  <c r="M356" i="1" s="1"/>
  <c r="L420" i="1"/>
  <c r="M420" i="1" s="1"/>
  <c r="L484" i="1"/>
  <c r="M484" i="1" s="1"/>
  <c r="L548" i="1"/>
  <c r="M548" i="1" s="1"/>
  <c r="L13" i="1"/>
  <c r="M13" i="1" s="1"/>
  <c r="L77" i="1"/>
  <c r="M77" i="1" s="1"/>
  <c r="H77" i="1"/>
  <c r="L141" i="1"/>
  <c r="M141" i="1" s="1"/>
  <c r="L205" i="1"/>
  <c r="M205" i="1" s="1"/>
  <c r="H205" i="1"/>
  <c r="L269" i="1"/>
  <c r="M269" i="1" s="1"/>
  <c r="L333" i="1"/>
  <c r="M333" i="1" s="1"/>
  <c r="L397" i="1"/>
  <c r="M397" i="1" s="1"/>
  <c r="H397" i="1"/>
  <c r="L461" i="1"/>
  <c r="M461" i="1" s="1"/>
  <c r="L525" i="1"/>
  <c r="M525" i="1" s="1"/>
  <c r="H525" i="1"/>
  <c r="L589" i="1"/>
  <c r="M589" i="1" s="1"/>
  <c r="L6" i="1"/>
  <c r="M6" i="1" s="1"/>
  <c r="H6" i="1"/>
  <c r="L70" i="1"/>
  <c r="M70" i="1" s="1"/>
  <c r="L134" i="1"/>
  <c r="M134" i="1" s="1"/>
  <c r="L198" i="1"/>
  <c r="M198" i="1" s="1"/>
  <c r="L262" i="1"/>
  <c r="M262" i="1" s="1"/>
  <c r="L63" i="1"/>
  <c r="M63" i="1" s="1"/>
  <c r="L127" i="1"/>
  <c r="M127" i="1" s="1"/>
  <c r="H127" i="1"/>
  <c r="L191" i="1"/>
  <c r="M191" i="1" s="1"/>
  <c r="L255" i="1"/>
  <c r="M255" i="1" s="1"/>
  <c r="L319" i="1"/>
  <c r="M319" i="1" s="1"/>
  <c r="H319" i="1"/>
  <c r="L383" i="1"/>
  <c r="M383" i="1" s="1"/>
  <c r="H383" i="1"/>
  <c r="H447" i="1"/>
  <c r="L447" i="1"/>
  <c r="M447" i="1" s="1"/>
  <c r="L511" i="1"/>
  <c r="M511" i="1" s="1"/>
  <c r="L575" i="1"/>
  <c r="M575" i="1" s="1"/>
  <c r="L639" i="1"/>
  <c r="M639" i="1" s="1"/>
  <c r="L56" i="1"/>
  <c r="M56" i="1" s="1"/>
  <c r="L120" i="1"/>
  <c r="M120" i="1" s="1"/>
  <c r="L192" i="1"/>
  <c r="M192" i="1" s="1"/>
  <c r="H192" i="1"/>
  <c r="L256" i="1"/>
  <c r="M256" i="1" s="1"/>
  <c r="H256" i="1"/>
  <c r="L320" i="1"/>
  <c r="M320" i="1" s="1"/>
  <c r="L384" i="1"/>
  <c r="M384" i="1" s="1"/>
  <c r="H384" i="1"/>
  <c r="L456" i="1"/>
  <c r="M456" i="1" s="1"/>
  <c r="H456" i="1"/>
  <c r="L520" i="1"/>
  <c r="M520" i="1" s="1"/>
  <c r="H520" i="1"/>
  <c r="L860" i="1"/>
  <c r="M860" i="1" s="1"/>
  <c r="L660" i="1"/>
  <c r="M660" i="1" s="1"/>
  <c r="H660" i="1"/>
  <c r="L696" i="1"/>
  <c r="M696" i="1" s="1"/>
  <c r="L305" i="1"/>
  <c r="M305" i="1" s="1"/>
  <c r="H305" i="1"/>
  <c r="L769" i="1"/>
  <c r="M769" i="1" s="1"/>
  <c r="H769" i="1"/>
  <c r="L290" i="1"/>
  <c r="M290" i="1" s="1"/>
  <c r="H290" i="1"/>
  <c r="L642" i="1"/>
  <c r="M642" i="1" s="1"/>
  <c r="H435" i="1"/>
  <c r="L435" i="1"/>
  <c r="M435" i="1" s="1"/>
  <c r="L723" i="1"/>
  <c r="M723" i="1" s="1"/>
  <c r="L733" i="1"/>
  <c r="M733" i="1" s="1"/>
  <c r="L677" i="1"/>
  <c r="M677" i="1" s="1"/>
  <c r="L824" i="1"/>
  <c r="M824" i="1" s="1"/>
  <c r="L225" i="1"/>
  <c r="M225" i="1" s="1"/>
  <c r="H225" i="1"/>
  <c r="L665" i="1"/>
  <c r="M665" i="1" s="1"/>
  <c r="H665" i="1"/>
  <c r="L708" i="1"/>
  <c r="M708" i="1" s="1"/>
  <c r="L294" i="1"/>
  <c r="M294" i="1" s="1"/>
  <c r="H294" i="1"/>
  <c r="L358" i="1"/>
  <c r="M358" i="1" s="1"/>
  <c r="L422" i="1"/>
  <c r="M422" i="1" s="1"/>
  <c r="L486" i="1"/>
  <c r="M486" i="1" s="1"/>
  <c r="H550" i="1"/>
  <c r="L550" i="1"/>
  <c r="M550" i="1" s="1"/>
  <c r="L614" i="1"/>
  <c r="M614" i="1" s="1"/>
  <c r="L678" i="1"/>
  <c r="M678" i="1" s="1"/>
  <c r="L742" i="1"/>
  <c r="M742" i="1" s="1"/>
  <c r="H742" i="1"/>
  <c r="L806" i="1"/>
  <c r="M806" i="1" s="1"/>
  <c r="L536" i="1"/>
  <c r="M536" i="1" s="1"/>
  <c r="L744" i="1"/>
  <c r="M744" i="1" s="1"/>
  <c r="H744" i="1"/>
  <c r="L393" i="1"/>
  <c r="M393" i="1" s="1"/>
  <c r="L657" i="1"/>
  <c r="M657" i="1" s="1"/>
  <c r="L50" i="1"/>
  <c r="M50" i="1" s="1"/>
  <c r="L338" i="1"/>
  <c r="M338" i="1" s="1"/>
  <c r="L634" i="1"/>
  <c r="M634" i="1" s="1"/>
  <c r="L275" i="1"/>
  <c r="M275" i="1" s="1"/>
  <c r="H475" i="1"/>
  <c r="L475" i="1"/>
  <c r="M475" i="1" s="1"/>
  <c r="L787" i="1"/>
  <c r="M787" i="1" s="1"/>
  <c r="L805" i="1"/>
  <c r="M805" i="1" s="1"/>
  <c r="H805" i="1"/>
  <c r="H703" i="1"/>
  <c r="L703" i="1"/>
  <c r="M703" i="1" s="1"/>
  <c r="H767" i="1"/>
  <c r="L767" i="1"/>
  <c r="M767" i="1" s="1"/>
  <c r="L831" i="1"/>
  <c r="M831" i="1" s="1"/>
  <c r="L616" i="1"/>
  <c r="M616" i="1" s="1"/>
  <c r="H616" i="1"/>
  <c r="L73" i="1"/>
  <c r="M73" i="1" s="1"/>
  <c r="H73" i="1"/>
  <c r="L745" i="1"/>
  <c r="M745" i="1" s="1"/>
  <c r="H234" i="1"/>
  <c r="L234" i="1"/>
  <c r="M234" i="1" s="1"/>
  <c r="L546" i="1"/>
  <c r="M546" i="1" s="1"/>
  <c r="L858" i="1"/>
  <c r="M858" i="1" s="1"/>
  <c r="L34" i="1"/>
  <c r="M34" i="1" s="1"/>
  <c r="L346" i="1"/>
  <c r="M346" i="1" s="1"/>
  <c r="L666" i="1"/>
  <c r="M666" i="1" s="1"/>
  <c r="L643" i="1"/>
  <c r="M643" i="1" s="1"/>
  <c r="H643" i="1"/>
  <c r="L717" i="1"/>
  <c r="M717" i="1" s="1"/>
  <c r="L33" i="1"/>
  <c r="M33" i="1" s="1"/>
  <c r="L233" i="1"/>
  <c r="M233" i="1" s="1"/>
  <c r="H233" i="1"/>
  <c r="L793" i="1"/>
  <c r="M793" i="1" s="1"/>
  <c r="H793" i="1"/>
  <c r="L282" i="1"/>
  <c r="M282" i="1" s="1"/>
  <c r="L626" i="1"/>
  <c r="M626" i="1" s="1"/>
  <c r="L307" i="1"/>
  <c r="M307" i="1" s="1"/>
  <c r="L523" i="1"/>
  <c r="M523" i="1" s="1"/>
  <c r="L803" i="1"/>
  <c r="M803" i="1" s="1"/>
  <c r="H803" i="1"/>
  <c r="L555" i="1"/>
  <c r="M555" i="1" s="1"/>
  <c r="L851" i="1"/>
  <c r="M851" i="1" s="1"/>
  <c r="H851" i="1"/>
  <c r="L748" i="1"/>
  <c r="M748" i="1" s="1"/>
  <c r="H748" i="1"/>
  <c r="L692" i="1"/>
  <c r="M692" i="1" s="1"/>
  <c r="L139" i="1"/>
  <c r="M139" i="1" s="1"/>
  <c r="H139" i="1"/>
  <c r="L204" i="1"/>
  <c r="M204" i="1" s="1"/>
  <c r="L524" i="1"/>
  <c r="M524" i="1" s="1"/>
  <c r="L181" i="1"/>
  <c r="M181" i="1" s="1"/>
  <c r="H181" i="1"/>
  <c r="L373" i="1"/>
  <c r="M373" i="1" s="1"/>
  <c r="L46" i="1"/>
  <c r="M46" i="1" s="1"/>
  <c r="H46" i="1"/>
  <c r="L103" i="1"/>
  <c r="M103" i="1" s="1"/>
  <c r="H103" i="1"/>
  <c r="L231" i="1"/>
  <c r="M231" i="1" s="1"/>
  <c r="H231" i="1"/>
  <c r="L32" i="1"/>
  <c r="M32" i="1" s="1"/>
  <c r="L296" i="1"/>
  <c r="M296" i="1" s="1"/>
  <c r="L496" i="1"/>
  <c r="M496" i="1" s="1"/>
  <c r="L121" i="1"/>
  <c r="M121" i="1" s="1"/>
  <c r="H121" i="1"/>
  <c r="L84" i="1"/>
  <c r="M84" i="1" s="1"/>
  <c r="L404" i="1"/>
  <c r="M404" i="1" s="1"/>
  <c r="L125" i="1"/>
  <c r="M125" i="1" s="1"/>
  <c r="L381" i="1"/>
  <c r="M381" i="1" s="1"/>
  <c r="H381" i="1"/>
  <c r="L573" i="1"/>
  <c r="M573" i="1" s="1"/>
  <c r="H246" i="1"/>
  <c r="L246" i="1"/>
  <c r="M246" i="1" s="1"/>
  <c r="L303" i="1"/>
  <c r="M303" i="1" s="1"/>
  <c r="H303" i="1"/>
  <c r="L623" i="1"/>
  <c r="M623" i="1" s="1"/>
  <c r="L176" i="1"/>
  <c r="M176" i="1" s="1"/>
  <c r="L504" i="1"/>
  <c r="M504" i="1" s="1"/>
  <c r="H504" i="1"/>
  <c r="L161" i="1"/>
  <c r="M161" i="1" s="1"/>
  <c r="H161" i="1"/>
  <c r="L651" i="1"/>
  <c r="M651" i="1" s="1"/>
  <c r="L593" i="1"/>
  <c r="M593" i="1" s="1"/>
  <c r="H593" i="1"/>
  <c r="L726" i="1"/>
  <c r="M726" i="1" s="1"/>
  <c r="L107" i="1"/>
  <c r="M107" i="1" s="1"/>
  <c r="L44" i="1"/>
  <c r="M44" i="1" s="1"/>
  <c r="L236" i="1"/>
  <c r="M236" i="1" s="1"/>
  <c r="L428" i="1"/>
  <c r="M428" i="1" s="1"/>
  <c r="L21" i="1"/>
  <c r="M21" i="1" s="1"/>
  <c r="H21" i="1"/>
  <c r="L213" i="1"/>
  <c r="M213" i="1" s="1"/>
  <c r="L341" i="1"/>
  <c r="M341" i="1" s="1"/>
  <c r="L533" i="1"/>
  <c r="M533" i="1" s="1"/>
  <c r="L14" i="1"/>
  <c r="M14" i="1" s="1"/>
  <c r="H14" i="1"/>
  <c r="L206" i="1"/>
  <c r="M206" i="1" s="1"/>
  <c r="L135" i="1"/>
  <c r="M135" i="1" s="1"/>
  <c r="L263" i="1"/>
  <c r="M263" i="1" s="1"/>
  <c r="L391" i="1"/>
  <c r="M391" i="1" s="1"/>
  <c r="H391" i="1"/>
  <c r="L455" i="1"/>
  <c r="M455" i="1" s="1"/>
  <c r="H455" i="1"/>
  <c r="L519" i="1"/>
  <c r="M519" i="1" s="1"/>
  <c r="H519" i="1"/>
  <c r="L583" i="1"/>
  <c r="M583" i="1" s="1"/>
  <c r="H647" i="1"/>
  <c r="L647" i="1"/>
  <c r="M647" i="1" s="1"/>
  <c r="L64" i="1"/>
  <c r="M64" i="1" s="1"/>
  <c r="L128" i="1"/>
  <c r="M128" i="1" s="1"/>
  <c r="L200" i="1"/>
  <c r="M200" i="1" s="1"/>
  <c r="L264" i="1"/>
  <c r="M264" i="1" s="1"/>
  <c r="L328" i="1"/>
  <c r="M328" i="1" s="1"/>
  <c r="H328" i="1"/>
  <c r="L392" i="1"/>
  <c r="M392" i="1" s="1"/>
  <c r="L464" i="1"/>
  <c r="M464" i="1" s="1"/>
  <c r="L57" i="1"/>
  <c r="M57" i="1" s="1"/>
  <c r="H604" i="1"/>
  <c r="L604" i="1"/>
  <c r="M604" i="1" s="1"/>
  <c r="L668" i="1"/>
  <c r="M668" i="1" s="1"/>
  <c r="L728" i="1"/>
  <c r="M728" i="1" s="1"/>
  <c r="H728" i="1"/>
  <c r="L329" i="1"/>
  <c r="M329" i="1" s="1"/>
  <c r="H329" i="1"/>
  <c r="L817" i="1"/>
  <c r="M817" i="1" s="1"/>
  <c r="L330" i="1"/>
  <c r="M330" i="1" s="1"/>
  <c r="L682" i="1"/>
  <c r="M682" i="1" s="1"/>
  <c r="H682" i="1"/>
  <c r="L467" i="1"/>
  <c r="M467" i="1" s="1"/>
  <c r="L763" i="1"/>
  <c r="M763" i="1" s="1"/>
  <c r="H763" i="1"/>
  <c r="L765" i="1"/>
  <c r="M765" i="1" s="1"/>
  <c r="L544" i="1"/>
  <c r="M544" i="1" s="1"/>
  <c r="H544" i="1"/>
  <c r="L864" i="1"/>
  <c r="M864" i="1" s="1"/>
  <c r="L345" i="1"/>
  <c r="M345" i="1" s="1"/>
  <c r="L697" i="1"/>
  <c r="M697" i="1" s="1"/>
  <c r="H697" i="1"/>
  <c r="L740" i="1"/>
  <c r="M740" i="1" s="1"/>
  <c r="H740" i="1"/>
  <c r="L302" i="1"/>
  <c r="M302" i="1" s="1"/>
  <c r="H302" i="1"/>
  <c r="L366" i="1"/>
  <c r="M366" i="1" s="1"/>
  <c r="H366" i="1"/>
  <c r="L430" i="1"/>
  <c r="M430" i="1" s="1"/>
  <c r="L494" i="1"/>
  <c r="M494" i="1" s="1"/>
  <c r="L558" i="1"/>
  <c r="M558" i="1" s="1"/>
  <c r="L622" i="1"/>
  <c r="M622" i="1" s="1"/>
  <c r="L686" i="1"/>
  <c r="M686" i="1" s="1"/>
  <c r="L750" i="1"/>
  <c r="M750" i="1" s="1"/>
  <c r="H750" i="1"/>
  <c r="L814" i="1"/>
  <c r="M814" i="1" s="1"/>
  <c r="H814" i="1"/>
  <c r="L552" i="1"/>
  <c r="M552" i="1" s="1"/>
  <c r="L768" i="1"/>
  <c r="M768" i="1" s="1"/>
  <c r="H768" i="1"/>
  <c r="L425" i="1"/>
  <c r="M425" i="1" s="1"/>
  <c r="L681" i="1"/>
  <c r="M681" i="1" s="1"/>
  <c r="L90" i="1"/>
  <c r="M90" i="1" s="1"/>
  <c r="H90" i="1"/>
  <c r="L370" i="1"/>
  <c r="M370" i="1" s="1"/>
  <c r="H370" i="1"/>
  <c r="L674" i="1"/>
  <c r="M674" i="1" s="1"/>
  <c r="L299" i="1"/>
  <c r="M299" i="1" s="1"/>
  <c r="H299" i="1"/>
  <c r="L507" i="1"/>
  <c r="M507" i="1" s="1"/>
  <c r="L827" i="1"/>
  <c r="M827" i="1" s="1"/>
  <c r="L837" i="1"/>
  <c r="M837" i="1" s="1"/>
  <c r="L711" i="1"/>
  <c r="M711" i="1" s="1"/>
  <c r="L775" i="1"/>
  <c r="M775" i="1" s="1"/>
  <c r="H775" i="1"/>
  <c r="L839" i="1"/>
  <c r="M839" i="1" s="1"/>
  <c r="L640" i="1"/>
  <c r="M640" i="1" s="1"/>
  <c r="L281" i="1"/>
  <c r="M281" i="1" s="1"/>
  <c r="L801" i="1"/>
  <c r="M801" i="1" s="1"/>
  <c r="H801" i="1"/>
  <c r="L266" i="1"/>
  <c r="M266" i="1" s="1"/>
  <c r="H586" i="1"/>
  <c r="L586" i="1"/>
  <c r="M586" i="1" s="1"/>
  <c r="L856" i="1"/>
  <c r="M856" i="1" s="1"/>
  <c r="L58" i="1"/>
  <c r="M58" i="1" s="1"/>
  <c r="L386" i="1"/>
  <c r="M386" i="1" s="1"/>
  <c r="L698" i="1"/>
  <c r="M698" i="1" s="1"/>
  <c r="L691" i="1"/>
  <c r="M691" i="1" s="1"/>
  <c r="H691" i="1"/>
  <c r="L749" i="1"/>
  <c r="M749" i="1" s="1"/>
  <c r="H749" i="1"/>
  <c r="L41" i="1"/>
  <c r="M41" i="1" s="1"/>
  <c r="L265" i="1"/>
  <c r="M265" i="1" s="1"/>
  <c r="H265" i="1"/>
  <c r="L833" i="1"/>
  <c r="M833" i="1" s="1"/>
  <c r="H833" i="1"/>
  <c r="L322" i="1"/>
  <c r="M322" i="1" s="1"/>
  <c r="L658" i="1"/>
  <c r="M658" i="1" s="1"/>
  <c r="H658" i="1"/>
  <c r="L331" i="1"/>
  <c r="M331" i="1" s="1"/>
  <c r="H331" i="1"/>
  <c r="L563" i="1"/>
  <c r="M563" i="1" s="1"/>
  <c r="L835" i="1"/>
  <c r="M835" i="1" s="1"/>
  <c r="H835" i="1"/>
  <c r="L579" i="1"/>
  <c r="M579" i="1" s="1"/>
  <c r="H579" i="1"/>
  <c r="L249" i="1"/>
  <c r="M249" i="1" s="1"/>
  <c r="L821" i="1"/>
  <c r="M821" i="1" s="1"/>
  <c r="H780" i="1"/>
  <c r="L780" i="1"/>
  <c r="M780" i="1" s="1"/>
  <c r="L12" i="1"/>
  <c r="M12" i="1" s="1"/>
  <c r="H12" i="1"/>
  <c r="L332" i="1"/>
  <c r="M332" i="1" s="1"/>
  <c r="L588" i="1"/>
  <c r="M588" i="1" s="1"/>
  <c r="L309" i="1"/>
  <c r="M309" i="1" s="1"/>
  <c r="H309" i="1"/>
  <c r="L565" i="1"/>
  <c r="M565" i="1" s="1"/>
  <c r="H565" i="1"/>
  <c r="L110" i="1"/>
  <c r="M110" i="1" s="1"/>
  <c r="L167" i="1"/>
  <c r="M167" i="1" s="1"/>
  <c r="H167" i="1"/>
  <c r="L487" i="1"/>
  <c r="M487" i="1" s="1"/>
  <c r="H487" i="1"/>
  <c r="L96" i="1"/>
  <c r="M96" i="1" s="1"/>
  <c r="H96" i="1"/>
  <c r="L432" i="1"/>
  <c r="M432" i="1" s="1"/>
  <c r="L600" i="1"/>
  <c r="M600" i="1" s="1"/>
  <c r="H600" i="1"/>
  <c r="L649" i="1"/>
  <c r="M649" i="1" s="1"/>
  <c r="H649" i="1"/>
  <c r="L611" i="1"/>
  <c r="M611" i="1" s="1"/>
  <c r="H611" i="1"/>
  <c r="L653" i="1"/>
  <c r="M653" i="1" s="1"/>
  <c r="H653" i="1"/>
  <c r="L489" i="1"/>
  <c r="M489" i="1" s="1"/>
  <c r="L462" i="1"/>
  <c r="M462" i="1" s="1"/>
  <c r="L718" i="1"/>
  <c r="M718" i="1" s="1"/>
  <c r="L561" i="1"/>
  <c r="M561" i="1" s="1"/>
  <c r="L387" i="1"/>
  <c r="M387" i="1" s="1"/>
  <c r="H807" i="1"/>
  <c r="L807" i="1"/>
  <c r="M807" i="1" s="1"/>
  <c r="L114" i="1"/>
  <c r="M114" i="1" s="1"/>
  <c r="H226" i="1"/>
  <c r="L226" i="1"/>
  <c r="M226" i="1" s="1"/>
  <c r="L9" i="1"/>
  <c r="M9" i="1" s="1"/>
  <c r="H9" i="1"/>
  <c r="L170" i="1"/>
  <c r="M170" i="1" s="1"/>
  <c r="L707" i="1"/>
  <c r="M707" i="1" s="1"/>
  <c r="L19" i="1"/>
  <c r="M19" i="1" s="1"/>
  <c r="L20" i="1"/>
  <c r="M20" i="1" s="1"/>
  <c r="L340" i="1"/>
  <c r="M340" i="1" s="1"/>
  <c r="L596" i="1"/>
  <c r="M596" i="1" s="1"/>
  <c r="L189" i="1"/>
  <c r="M189" i="1" s="1"/>
  <c r="L509" i="1"/>
  <c r="M509" i="1" s="1"/>
  <c r="H509" i="1"/>
  <c r="L182" i="1"/>
  <c r="M182" i="1" s="1"/>
  <c r="L239" i="1"/>
  <c r="M239" i="1" s="1"/>
  <c r="H239" i="1"/>
  <c r="L495" i="1"/>
  <c r="M495" i="1" s="1"/>
  <c r="L104" i="1"/>
  <c r="M104" i="1" s="1"/>
  <c r="L368" i="1"/>
  <c r="M368" i="1" s="1"/>
  <c r="H368" i="1"/>
  <c r="L632" i="1"/>
  <c r="M632" i="1" s="1"/>
  <c r="L347" i="1"/>
  <c r="M347" i="1" s="1"/>
  <c r="L177" i="1"/>
  <c r="M177" i="1" s="1"/>
  <c r="L278" i="1"/>
  <c r="M278" i="1" s="1"/>
  <c r="L790" i="1"/>
  <c r="M790" i="1" s="1"/>
  <c r="L171" i="1"/>
  <c r="M171" i="1" s="1"/>
  <c r="L108" i="1"/>
  <c r="M108" i="1" s="1"/>
  <c r="L300" i="1"/>
  <c r="M300" i="1" s="1"/>
  <c r="H300" i="1"/>
  <c r="L364" i="1"/>
  <c r="M364" i="1" s="1"/>
  <c r="H364" i="1"/>
  <c r="L556" i="1"/>
  <c r="M556" i="1" s="1"/>
  <c r="L149" i="1"/>
  <c r="M149" i="1" s="1"/>
  <c r="H149" i="1"/>
  <c r="L405" i="1"/>
  <c r="M405" i="1" s="1"/>
  <c r="L597" i="1"/>
  <c r="M597" i="1" s="1"/>
  <c r="L142" i="1"/>
  <c r="M142" i="1" s="1"/>
  <c r="L7" i="1"/>
  <c r="M7" i="1" s="1"/>
  <c r="L327" i="1"/>
  <c r="M327" i="1" s="1"/>
  <c r="L51" i="1"/>
  <c r="M51" i="1" s="1"/>
  <c r="H115" i="1"/>
  <c r="L115" i="1"/>
  <c r="M115" i="1" s="1"/>
  <c r="L179" i="1"/>
  <c r="M179" i="1" s="1"/>
  <c r="L243" i="1"/>
  <c r="M243" i="1" s="1"/>
  <c r="L52" i="1"/>
  <c r="M52" i="1" s="1"/>
  <c r="L116" i="1"/>
  <c r="M116" i="1" s="1"/>
  <c r="L180" i="1"/>
  <c r="M180" i="1" s="1"/>
  <c r="L244" i="1"/>
  <c r="M244" i="1" s="1"/>
  <c r="L308" i="1"/>
  <c r="M308" i="1" s="1"/>
  <c r="L372" i="1"/>
  <c r="M372" i="1" s="1"/>
  <c r="H372" i="1"/>
  <c r="L436" i="1"/>
  <c r="M436" i="1" s="1"/>
  <c r="H436" i="1"/>
  <c r="L500" i="1"/>
  <c r="M500" i="1" s="1"/>
  <c r="L564" i="1"/>
  <c r="M564" i="1" s="1"/>
  <c r="L29" i="1"/>
  <c r="M29" i="1" s="1"/>
  <c r="H29" i="1"/>
  <c r="L93" i="1"/>
  <c r="M93" i="1" s="1"/>
  <c r="H93" i="1"/>
  <c r="L157" i="1"/>
  <c r="M157" i="1" s="1"/>
  <c r="L221" i="1"/>
  <c r="M221" i="1" s="1"/>
  <c r="H221" i="1"/>
  <c r="L285" i="1"/>
  <c r="M285" i="1" s="1"/>
  <c r="L349" i="1"/>
  <c r="M349" i="1" s="1"/>
  <c r="H349" i="1"/>
  <c r="L413" i="1"/>
  <c r="M413" i="1" s="1"/>
  <c r="L477" i="1"/>
  <c r="M477" i="1" s="1"/>
  <c r="L541" i="1"/>
  <c r="M541" i="1" s="1"/>
  <c r="H541" i="1"/>
  <c r="L605" i="1"/>
  <c r="M605" i="1" s="1"/>
  <c r="L22" i="1"/>
  <c r="M22" i="1" s="1"/>
  <c r="H22" i="1"/>
  <c r="L86" i="1"/>
  <c r="M86" i="1" s="1"/>
  <c r="L150" i="1"/>
  <c r="M150" i="1" s="1"/>
  <c r="H150" i="1"/>
  <c r="L214" i="1"/>
  <c r="M214" i="1" s="1"/>
  <c r="L15" i="1"/>
  <c r="M15" i="1" s="1"/>
  <c r="H15" i="1"/>
  <c r="L79" i="1"/>
  <c r="M79" i="1" s="1"/>
  <c r="L143" i="1"/>
  <c r="M143" i="1" s="1"/>
  <c r="L207" i="1"/>
  <c r="M207" i="1" s="1"/>
  <c r="L271" i="1"/>
  <c r="M271" i="1" s="1"/>
  <c r="H271" i="1"/>
  <c r="L335" i="1"/>
  <c r="M335" i="1" s="1"/>
  <c r="L399" i="1"/>
  <c r="M399" i="1" s="1"/>
  <c r="H463" i="1"/>
  <c r="L463" i="1"/>
  <c r="M463" i="1" s="1"/>
  <c r="L527" i="1"/>
  <c r="M527" i="1" s="1"/>
  <c r="H527" i="1"/>
  <c r="H591" i="1"/>
  <c r="L591" i="1"/>
  <c r="M591" i="1" s="1"/>
  <c r="L8" i="1"/>
  <c r="M8" i="1" s="1"/>
  <c r="L72" i="1"/>
  <c r="M72" i="1" s="1"/>
  <c r="L136" i="1"/>
  <c r="M136" i="1" s="1"/>
  <c r="H136" i="1"/>
  <c r="L208" i="1"/>
  <c r="M208" i="1" s="1"/>
  <c r="L272" i="1"/>
  <c r="M272" i="1" s="1"/>
  <c r="L336" i="1"/>
  <c r="M336" i="1" s="1"/>
  <c r="L400" i="1"/>
  <c r="M400" i="1" s="1"/>
  <c r="H400" i="1"/>
  <c r="L472" i="1"/>
  <c r="M472" i="1" s="1"/>
  <c r="L569" i="1"/>
  <c r="M569" i="1" s="1"/>
  <c r="L612" i="1"/>
  <c r="M612" i="1" s="1"/>
  <c r="L676" i="1"/>
  <c r="M676" i="1" s="1"/>
  <c r="H676" i="1"/>
  <c r="L760" i="1"/>
  <c r="M760" i="1" s="1"/>
  <c r="H760" i="1"/>
  <c r="L361" i="1"/>
  <c r="M361" i="1" s="1"/>
  <c r="H361" i="1"/>
  <c r="L26" i="1"/>
  <c r="M26" i="1" s="1"/>
  <c r="L378" i="1"/>
  <c r="M378" i="1" s="1"/>
  <c r="H378" i="1"/>
  <c r="L730" i="1"/>
  <c r="M730" i="1" s="1"/>
  <c r="H730" i="1"/>
  <c r="L499" i="1"/>
  <c r="M499" i="1" s="1"/>
  <c r="H499" i="1"/>
  <c r="L795" i="1"/>
  <c r="M795" i="1" s="1"/>
  <c r="H795" i="1"/>
  <c r="L797" i="1"/>
  <c r="M797" i="1" s="1"/>
  <c r="H797" i="1"/>
  <c r="L608" i="1"/>
  <c r="M608" i="1" s="1"/>
  <c r="L89" i="1"/>
  <c r="M89" i="1" s="1"/>
  <c r="H89" i="1"/>
  <c r="L457" i="1"/>
  <c r="M457" i="1" s="1"/>
  <c r="L737" i="1"/>
  <c r="M737" i="1" s="1"/>
  <c r="H737" i="1"/>
  <c r="L772" i="1"/>
  <c r="M772" i="1" s="1"/>
  <c r="L310" i="1"/>
  <c r="M310" i="1" s="1"/>
  <c r="H310" i="1"/>
  <c r="L374" i="1"/>
  <c r="M374" i="1" s="1"/>
  <c r="L438" i="1"/>
  <c r="M438" i="1" s="1"/>
  <c r="H438" i="1"/>
  <c r="L502" i="1"/>
  <c r="M502" i="1" s="1"/>
  <c r="L566" i="1"/>
  <c r="M566" i="1" s="1"/>
  <c r="L630" i="1"/>
  <c r="M630" i="1" s="1"/>
  <c r="L694" i="1"/>
  <c r="M694" i="1" s="1"/>
  <c r="L758" i="1"/>
  <c r="M758" i="1" s="1"/>
  <c r="L822" i="1"/>
  <c r="M822" i="1" s="1"/>
  <c r="L568" i="1"/>
  <c r="M568" i="1" s="1"/>
  <c r="L800" i="1"/>
  <c r="M800" i="1" s="1"/>
  <c r="L497" i="1"/>
  <c r="M497" i="1" s="1"/>
  <c r="L705" i="1"/>
  <c r="M705" i="1" s="1"/>
  <c r="L130" i="1"/>
  <c r="M130" i="1" s="1"/>
  <c r="L410" i="1"/>
  <c r="M410" i="1" s="1"/>
  <c r="L714" i="1"/>
  <c r="M714" i="1" s="1"/>
  <c r="L315" i="1"/>
  <c r="M315" i="1" s="1"/>
  <c r="L547" i="1"/>
  <c r="M547" i="1" s="1"/>
  <c r="H547" i="1"/>
  <c r="L129" i="1"/>
  <c r="M129" i="1" s="1"/>
  <c r="L655" i="1"/>
  <c r="M655" i="1" s="1"/>
  <c r="L719" i="1"/>
  <c r="M719" i="1" s="1"/>
  <c r="L783" i="1"/>
  <c r="M783" i="1" s="1"/>
  <c r="H847" i="1"/>
  <c r="L847" i="1"/>
  <c r="M847" i="1" s="1"/>
  <c r="L680" i="1"/>
  <c r="M680" i="1" s="1"/>
  <c r="L337" i="1"/>
  <c r="M337" i="1" s="1"/>
  <c r="H337" i="1"/>
  <c r="L849" i="1"/>
  <c r="M849" i="1" s="1"/>
  <c r="L314" i="1"/>
  <c r="M314" i="1" s="1"/>
  <c r="L618" i="1"/>
  <c r="M618" i="1" s="1"/>
  <c r="L289" i="1"/>
  <c r="M289" i="1" s="1"/>
  <c r="H289" i="1"/>
  <c r="L98" i="1"/>
  <c r="M98" i="1" s="1"/>
  <c r="L418" i="1"/>
  <c r="M418" i="1" s="1"/>
  <c r="L738" i="1"/>
  <c r="M738" i="1" s="1"/>
  <c r="L755" i="1"/>
  <c r="M755" i="1" s="1"/>
  <c r="H755" i="1"/>
  <c r="L781" i="1"/>
  <c r="M781" i="1" s="1"/>
  <c r="H781" i="1"/>
  <c r="L49" i="1"/>
  <c r="M49" i="1" s="1"/>
  <c r="H49" i="1"/>
  <c r="L297" i="1"/>
  <c r="M297" i="1" s="1"/>
  <c r="H297" i="1"/>
  <c r="H42" i="1"/>
  <c r="L42" i="1"/>
  <c r="M42" i="1" s="1"/>
  <c r="L362" i="1"/>
  <c r="M362" i="1" s="1"/>
  <c r="L706" i="1"/>
  <c r="M706" i="1" s="1"/>
  <c r="H355" i="1"/>
  <c r="L355" i="1"/>
  <c r="M355" i="1" s="1"/>
  <c r="L595" i="1"/>
  <c r="M595" i="1" s="1"/>
  <c r="H291" i="1"/>
  <c r="L291" i="1"/>
  <c r="M291" i="1" s="1"/>
  <c r="L619" i="1"/>
  <c r="M619" i="1" s="1"/>
  <c r="H619" i="1"/>
  <c r="L724" i="1"/>
  <c r="M724" i="1" s="1"/>
  <c r="H724" i="1"/>
  <c r="L513" i="1"/>
  <c r="M513" i="1" s="1"/>
  <c r="H513" i="1"/>
  <c r="L853" i="1"/>
  <c r="M853" i="1" s="1"/>
  <c r="H853" i="1"/>
  <c r="L11" i="1"/>
  <c r="M11" i="1" s="1"/>
  <c r="H11" i="1"/>
  <c r="L76" i="1"/>
  <c r="M76" i="1" s="1"/>
  <c r="H76" i="1"/>
  <c r="L460" i="1"/>
  <c r="M460" i="1" s="1"/>
  <c r="H460" i="1"/>
  <c r="L245" i="1"/>
  <c r="M245" i="1" s="1"/>
  <c r="H245" i="1"/>
  <c r="L629" i="1"/>
  <c r="M629" i="1" s="1"/>
  <c r="L39" i="1"/>
  <c r="M39" i="1" s="1"/>
  <c r="L359" i="1"/>
  <c r="M359" i="1" s="1"/>
  <c r="L551" i="1"/>
  <c r="M551" i="1" s="1"/>
  <c r="L360" i="1"/>
  <c r="M360" i="1" s="1"/>
  <c r="H360" i="1"/>
  <c r="L764" i="1"/>
  <c r="M764" i="1" s="1"/>
  <c r="H522" i="1"/>
  <c r="L522" i="1"/>
  <c r="M522" i="1" s="1"/>
  <c r="L704" i="1"/>
  <c r="M704" i="1" s="1"/>
  <c r="L334" i="1"/>
  <c r="M334" i="1" s="1"/>
  <c r="L590" i="1"/>
  <c r="M590" i="1" s="1"/>
  <c r="L217" i="1"/>
  <c r="M217" i="1" s="1"/>
  <c r="H217" i="1"/>
  <c r="L818" i="1"/>
  <c r="M818" i="1" s="1"/>
  <c r="L709" i="1"/>
  <c r="M709" i="1" s="1"/>
  <c r="H709" i="1"/>
  <c r="L776" i="1"/>
  <c r="M776" i="1" s="1"/>
  <c r="L722" i="1"/>
  <c r="M722" i="1" s="1"/>
  <c r="L193" i="1"/>
  <c r="M193" i="1" s="1"/>
  <c r="H193" i="1"/>
  <c r="L834" i="1"/>
  <c r="M834" i="1" s="1"/>
  <c r="L451" i="1"/>
  <c r="M451" i="1" s="1"/>
  <c r="L725" i="1"/>
  <c r="M725" i="1" s="1"/>
  <c r="H725" i="1"/>
  <c r="H211" i="1"/>
  <c r="L211" i="1"/>
  <c r="M211" i="1" s="1"/>
  <c r="L276" i="1"/>
  <c r="M276" i="1" s="1"/>
  <c r="L61" i="1"/>
  <c r="M61" i="1" s="1"/>
  <c r="H61" i="1"/>
  <c r="L445" i="1"/>
  <c r="M445" i="1" s="1"/>
  <c r="L54" i="1"/>
  <c r="M54" i="1" s="1"/>
  <c r="L111" i="1"/>
  <c r="M111" i="1" s="1"/>
  <c r="H559" i="1"/>
  <c r="L559" i="1"/>
  <c r="M559" i="1" s="1"/>
  <c r="L304" i="1"/>
  <c r="M304" i="1" s="1"/>
  <c r="H304" i="1"/>
  <c r="L644" i="1"/>
  <c r="M644" i="1" s="1"/>
  <c r="L210" i="1"/>
  <c r="M210" i="1" s="1"/>
  <c r="L661" i="1"/>
  <c r="M661" i="1" s="1"/>
  <c r="L342" i="1"/>
  <c r="M342" i="1" s="1"/>
  <c r="L688" i="1"/>
  <c r="M688" i="1" s="1"/>
  <c r="L43" i="1"/>
  <c r="M43" i="1" s="1"/>
  <c r="H43" i="1"/>
  <c r="L235" i="1"/>
  <c r="M235" i="1" s="1"/>
  <c r="L172" i="1"/>
  <c r="M172" i="1" s="1"/>
  <c r="H172" i="1"/>
  <c r="L492" i="1"/>
  <c r="M492" i="1" s="1"/>
  <c r="L85" i="1"/>
  <c r="M85" i="1" s="1"/>
  <c r="L277" i="1"/>
  <c r="M277" i="1" s="1"/>
  <c r="H277" i="1"/>
  <c r="L469" i="1"/>
  <c r="M469" i="1" s="1"/>
  <c r="H469" i="1"/>
  <c r="L78" i="1"/>
  <c r="M78" i="1" s="1"/>
  <c r="H78" i="1"/>
  <c r="L71" i="1"/>
  <c r="M71" i="1" s="1"/>
  <c r="L199" i="1"/>
  <c r="M199" i="1" s="1"/>
  <c r="H199" i="1"/>
  <c r="L59" i="1"/>
  <c r="M59" i="1" s="1"/>
  <c r="L123" i="1"/>
  <c r="M123" i="1" s="1"/>
  <c r="L187" i="1"/>
  <c r="M187" i="1" s="1"/>
  <c r="H187" i="1"/>
  <c r="L251" i="1"/>
  <c r="M251" i="1" s="1"/>
  <c r="L60" i="1"/>
  <c r="M60" i="1" s="1"/>
  <c r="L124" i="1"/>
  <c r="M124" i="1" s="1"/>
  <c r="L188" i="1"/>
  <c r="M188" i="1" s="1"/>
  <c r="L252" i="1"/>
  <c r="M252" i="1" s="1"/>
  <c r="L316" i="1"/>
  <c r="M316" i="1" s="1"/>
  <c r="H316" i="1"/>
  <c r="L380" i="1"/>
  <c r="M380" i="1" s="1"/>
  <c r="L444" i="1"/>
  <c r="M444" i="1" s="1"/>
  <c r="H444" i="1"/>
  <c r="L508" i="1"/>
  <c r="M508" i="1" s="1"/>
  <c r="H508" i="1"/>
  <c r="L572" i="1"/>
  <c r="M572" i="1" s="1"/>
  <c r="L37" i="1"/>
  <c r="M37" i="1" s="1"/>
  <c r="H37" i="1"/>
  <c r="L101" i="1"/>
  <c r="M101" i="1" s="1"/>
  <c r="H101" i="1"/>
  <c r="L165" i="1"/>
  <c r="M165" i="1" s="1"/>
  <c r="H165" i="1"/>
  <c r="L229" i="1"/>
  <c r="M229" i="1" s="1"/>
  <c r="L293" i="1"/>
  <c r="M293" i="1" s="1"/>
  <c r="H293" i="1"/>
  <c r="L357" i="1"/>
  <c r="M357" i="1" s="1"/>
  <c r="L421" i="1"/>
  <c r="M421" i="1" s="1"/>
  <c r="H421" i="1"/>
  <c r="L485" i="1"/>
  <c r="M485" i="1" s="1"/>
  <c r="L549" i="1"/>
  <c r="M549" i="1" s="1"/>
  <c r="L613" i="1"/>
  <c r="M613" i="1" s="1"/>
  <c r="H613" i="1"/>
  <c r="L30" i="1"/>
  <c r="M30" i="1" s="1"/>
  <c r="H30" i="1"/>
  <c r="L94" i="1"/>
  <c r="M94" i="1" s="1"/>
  <c r="H94" i="1"/>
  <c r="L158" i="1"/>
  <c r="M158" i="1" s="1"/>
  <c r="L222" i="1"/>
  <c r="M222" i="1" s="1"/>
  <c r="H222" i="1"/>
  <c r="L23" i="1"/>
  <c r="M23" i="1" s="1"/>
  <c r="H23" i="1"/>
  <c r="L87" i="1"/>
  <c r="M87" i="1" s="1"/>
  <c r="H87" i="1"/>
  <c r="L151" i="1"/>
  <c r="M151" i="1" s="1"/>
  <c r="L215" i="1"/>
  <c r="M215" i="1" s="1"/>
  <c r="L279" i="1"/>
  <c r="M279" i="1" s="1"/>
  <c r="L343" i="1"/>
  <c r="M343" i="1" s="1"/>
  <c r="H343" i="1"/>
  <c r="L407" i="1"/>
  <c r="M407" i="1" s="1"/>
  <c r="L471" i="1"/>
  <c r="M471" i="1" s="1"/>
  <c r="L535" i="1"/>
  <c r="M535" i="1" s="1"/>
  <c r="H535" i="1"/>
  <c r="H599" i="1"/>
  <c r="L599" i="1"/>
  <c r="M599" i="1" s="1"/>
  <c r="L16" i="1"/>
  <c r="M16" i="1" s="1"/>
  <c r="H16" i="1"/>
  <c r="L80" i="1"/>
  <c r="M80" i="1" s="1"/>
  <c r="L144" i="1"/>
  <c r="M144" i="1" s="1"/>
  <c r="L216" i="1"/>
  <c r="M216" i="1" s="1"/>
  <c r="H216" i="1"/>
  <c r="L280" i="1"/>
  <c r="M280" i="1" s="1"/>
  <c r="L344" i="1"/>
  <c r="M344" i="1" s="1"/>
  <c r="L408" i="1"/>
  <c r="M408" i="1" s="1"/>
  <c r="L480" i="1"/>
  <c r="M480" i="1" s="1"/>
  <c r="H480" i="1"/>
  <c r="L700" i="1"/>
  <c r="M700" i="1" s="1"/>
  <c r="L620" i="1"/>
  <c r="M620" i="1" s="1"/>
  <c r="L560" i="1"/>
  <c r="M560" i="1" s="1"/>
  <c r="L784" i="1"/>
  <c r="M784" i="1" s="1"/>
  <c r="H409" i="1"/>
  <c r="L409" i="1"/>
  <c r="M409" i="1" s="1"/>
  <c r="L74" i="1"/>
  <c r="M74" i="1" s="1"/>
  <c r="L426" i="1"/>
  <c r="M426" i="1" s="1"/>
  <c r="L770" i="1"/>
  <c r="M770" i="1" s="1"/>
  <c r="L539" i="1"/>
  <c r="M539" i="1" s="1"/>
  <c r="L843" i="1"/>
  <c r="M843" i="1" s="1"/>
  <c r="L829" i="1"/>
  <c r="M829" i="1" s="1"/>
  <c r="H829" i="1"/>
  <c r="L648" i="1"/>
  <c r="M648" i="1" s="1"/>
  <c r="H648" i="1"/>
  <c r="L137" i="1"/>
  <c r="M137" i="1" s="1"/>
  <c r="L465" i="1"/>
  <c r="M465" i="1" s="1"/>
  <c r="L785" i="1"/>
  <c r="M785" i="1" s="1"/>
  <c r="H785" i="1"/>
  <c r="L804" i="1"/>
  <c r="M804" i="1" s="1"/>
  <c r="H804" i="1"/>
  <c r="L318" i="1"/>
  <c r="M318" i="1" s="1"/>
  <c r="H318" i="1"/>
  <c r="H382" i="1"/>
  <c r="L382" i="1"/>
  <c r="M382" i="1" s="1"/>
  <c r="L446" i="1"/>
  <c r="M446" i="1" s="1"/>
  <c r="H510" i="1"/>
  <c r="L510" i="1"/>
  <c r="M510" i="1" s="1"/>
  <c r="L574" i="1"/>
  <c r="M574" i="1" s="1"/>
  <c r="L638" i="1"/>
  <c r="M638" i="1" s="1"/>
  <c r="L702" i="1"/>
  <c r="M702" i="1" s="1"/>
  <c r="L766" i="1"/>
  <c r="M766" i="1" s="1"/>
  <c r="L830" i="1"/>
  <c r="M830" i="1" s="1"/>
  <c r="L592" i="1"/>
  <c r="M592" i="1" s="1"/>
  <c r="H592" i="1"/>
  <c r="L840" i="1"/>
  <c r="M840" i="1" s="1"/>
  <c r="L521" i="1"/>
  <c r="M521" i="1" s="1"/>
  <c r="H521" i="1"/>
  <c r="L729" i="1"/>
  <c r="M729" i="1" s="1"/>
  <c r="H729" i="1"/>
  <c r="L146" i="1"/>
  <c r="M146" i="1" s="1"/>
  <c r="L450" i="1"/>
  <c r="M450" i="1" s="1"/>
  <c r="H450" i="1"/>
  <c r="L754" i="1"/>
  <c r="M754" i="1" s="1"/>
  <c r="L339" i="1"/>
  <c r="M339" i="1" s="1"/>
  <c r="H587" i="1"/>
  <c r="L587" i="1"/>
  <c r="M587" i="1" s="1"/>
  <c r="L385" i="1"/>
  <c r="M385" i="1" s="1"/>
  <c r="H663" i="1"/>
  <c r="L663" i="1"/>
  <c r="M663" i="1" s="1"/>
  <c r="L727" i="1"/>
  <c r="M727" i="1" s="1"/>
  <c r="L791" i="1"/>
  <c r="M791" i="1" s="1"/>
  <c r="L855" i="1"/>
  <c r="M855" i="1" s="1"/>
  <c r="L720" i="1"/>
  <c r="M720" i="1" s="1"/>
  <c r="L369" i="1"/>
  <c r="M369" i="1" s="1"/>
  <c r="H369" i="1"/>
  <c r="L18" i="1"/>
  <c r="M18" i="1" s="1"/>
  <c r="H18" i="1"/>
  <c r="L354" i="1"/>
  <c r="M354" i="1" s="1"/>
  <c r="L650" i="1"/>
  <c r="M650" i="1" s="1"/>
  <c r="L553" i="1"/>
  <c r="M553" i="1" s="1"/>
  <c r="H553" i="1"/>
  <c r="L138" i="1"/>
  <c r="M138" i="1" s="1"/>
  <c r="L458" i="1"/>
  <c r="M458" i="1" s="1"/>
  <c r="L778" i="1"/>
  <c r="M778" i="1" s="1"/>
  <c r="H778" i="1"/>
  <c r="L811" i="1"/>
  <c r="M811" i="1" s="1"/>
  <c r="L813" i="1"/>
  <c r="M813" i="1" s="1"/>
  <c r="H813" i="1"/>
  <c r="L81" i="1"/>
  <c r="M81" i="1" s="1"/>
  <c r="H81" i="1"/>
  <c r="L417" i="1"/>
  <c r="M417" i="1" s="1"/>
  <c r="L82" i="1"/>
  <c r="M82" i="1" s="1"/>
  <c r="H82" i="1"/>
  <c r="L402" i="1"/>
  <c r="M402" i="1" s="1"/>
  <c r="H402" i="1"/>
  <c r="L746" i="1"/>
  <c r="M746" i="1" s="1"/>
  <c r="L379" i="1"/>
  <c r="M379" i="1" s="1"/>
  <c r="L635" i="1"/>
  <c r="M635" i="1" s="1"/>
  <c r="L371" i="1"/>
  <c r="M371" i="1" s="1"/>
  <c r="H371" i="1"/>
  <c r="L659" i="1"/>
  <c r="M659" i="1" s="1"/>
  <c r="H659" i="1"/>
  <c r="L812" i="1"/>
  <c r="M812" i="1" s="1"/>
  <c r="H812" i="1"/>
  <c r="L756" i="1"/>
  <c r="M756" i="1" s="1"/>
  <c r="L693" i="1"/>
  <c r="M693" i="1" s="1"/>
  <c r="I138" i="1"/>
  <c r="H138" i="1" s="1"/>
  <c r="I132" i="1"/>
  <c r="H132" i="1" s="1"/>
  <c r="I204" i="1"/>
  <c r="H204" i="1" s="1"/>
  <c r="I54" i="1"/>
  <c r="H54" i="1" s="1"/>
  <c r="I564" i="1"/>
  <c r="H564" i="1" s="1"/>
  <c r="I210" i="1"/>
  <c r="H210" i="1" s="1"/>
  <c r="I426" i="1"/>
  <c r="H426" i="1" s="1"/>
  <c r="I144" i="1"/>
  <c r="H144" i="1" s="1"/>
  <c r="I720" i="1"/>
  <c r="H720" i="1" s="1"/>
  <c r="I270" i="1"/>
  <c r="H270" i="1" s="1"/>
  <c r="I708" i="1"/>
  <c r="H708" i="1" s="1"/>
  <c r="I786" i="1"/>
  <c r="H786" i="1" s="1"/>
  <c r="I288" i="1"/>
  <c r="H288" i="1" s="1"/>
  <c r="I432" i="1"/>
  <c r="H432" i="1" s="1"/>
  <c r="I576" i="1"/>
  <c r="H576" i="1" s="1"/>
  <c r="I864" i="1"/>
  <c r="H864" i="1" s="1"/>
  <c r="I276" i="1"/>
  <c r="H276" i="1" s="1"/>
  <c r="I282" i="1"/>
  <c r="H282" i="1" s="1"/>
  <c r="I66" i="1"/>
  <c r="H66" i="1" s="1"/>
  <c r="I642" i="1"/>
  <c r="H642" i="1" s="1"/>
  <c r="I420" i="1"/>
  <c r="H420" i="1" s="1"/>
  <c r="I348" i="1"/>
  <c r="H348" i="1" s="1"/>
  <c r="I354" i="1"/>
  <c r="H354" i="1" s="1"/>
  <c r="I636" i="1"/>
  <c r="H636" i="1" s="1"/>
  <c r="I363" i="1"/>
  <c r="H363" i="1" s="1"/>
  <c r="I126" i="1"/>
  <c r="H126" i="1" s="1"/>
  <c r="I72" i="1"/>
  <c r="H72" i="1" s="1"/>
  <c r="I60" i="1"/>
  <c r="H60" i="1" s="1"/>
  <c r="I414" i="1"/>
  <c r="H414" i="1" s="1"/>
  <c r="I498" i="1"/>
  <c r="H498" i="1" s="1"/>
  <c r="I198" i="1"/>
  <c r="H198" i="1" s="1"/>
  <c r="I558" i="1"/>
  <c r="H558" i="1" s="1"/>
  <c r="I774" i="1"/>
  <c r="H774" i="1" s="1"/>
  <c r="I507" i="1"/>
  <c r="H507" i="1" s="1"/>
  <c r="I70" i="1"/>
  <c r="H70" i="1" s="1"/>
  <c r="I568" i="1"/>
  <c r="H568" i="1" s="1"/>
  <c r="I35" i="1"/>
  <c r="H35" i="1" s="1"/>
  <c r="I179" i="1"/>
  <c r="H179" i="1" s="1"/>
  <c r="I323" i="1"/>
  <c r="H323" i="1" s="1"/>
  <c r="I467" i="1"/>
  <c r="H467" i="1" s="1"/>
  <c r="I485" i="1"/>
  <c r="H485" i="1" s="1"/>
  <c r="I605" i="1"/>
  <c r="H605" i="1" s="1"/>
  <c r="I71" i="1"/>
  <c r="H71" i="1" s="1"/>
  <c r="I623" i="1"/>
  <c r="H623" i="1" s="1"/>
  <c r="I352" i="1"/>
  <c r="H352" i="1" s="1"/>
  <c r="I65" i="1"/>
  <c r="H65" i="1" s="1"/>
  <c r="I358" i="1"/>
  <c r="H358" i="1" s="1"/>
  <c r="I706" i="1"/>
  <c r="H706" i="1" s="1"/>
  <c r="I196" i="1"/>
  <c r="H196" i="1" s="1"/>
  <c r="I827" i="1"/>
  <c r="H827" i="1" s="1"/>
  <c r="I412" i="1"/>
  <c r="H412" i="1" s="1"/>
  <c r="I164" i="1"/>
  <c r="H164" i="1" s="1"/>
  <c r="I662" i="1"/>
  <c r="H662" i="1" s="1"/>
  <c r="I806" i="1"/>
  <c r="H806" i="1" s="1"/>
  <c r="I374" i="1"/>
  <c r="H374" i="1" s="1"/>
  <c r="I800" i="1"/>
  <c r="H800" i="1" s="1"/>
  <c r="I296" i="1"/>
  <c r="H296" i="1" s="1"/>
  <c r="I506" i="1"/>
  <c r="H506" i="1" s="1"/>
  <c r="I723" i="1"/>
  <c r="H723" i="1" s="1"/>
  <c r="I850" i="1"/>
  <c r="H850" i="1" s="1"/>
  <c r="I202" i="1"/>
  <c r="H202" i="1" s="1"/>
  <c r="I125" i="1"/>
  <c r="H125" i="1" s="1"/>
  <c r="I533" i="1"/>
  <c r="H533" i="1" s="1"/>
  <c r="I119" i="1"/>
  <c r="H119" i="1" s="1"/>
  <c r="I263" i="1"/>
  <c r="H263" i="1" s="1"/>
  <c r="I407" i="1"/>
  <c r="H407" i="1" s="1"/>
  <c r="I784" i="1"/>
  <c r="H784" i="1" s="1"/>
  <c r="I113" i="1"/>
  <c r="H113" i="1" s="1"/>
  <c r="I683" i="1"/>
  <c r="H683" i="1" s="1"/>
  <c r="I8" i="1"/>
  <c r="H8" i="1" s="1"/>
  <c r="I452" i="1"/>
  <c r="H452" i="1" s="1"/>
  <c r="I308" i="1"/>
  <c r="H308" i="1" s="1"/>
  <c r="I574" i="1"/>
  <c r="H574" i="1" s="1"/>
  <c r="I86" i="1"/>
  <c r="H86" i="1" s="1"/>
  <c r="I107" i="1"/>
  <c r="H107" i="1" s="1"/>
  <c r="I251" i="1"/>
  <c r="H251" i="1" s="1"/>
  <c r="I395" i="1"/>
  <c r="H395" i="1" s="1"/>
  <c r="I539" i="1"/>
  <c r="H539" i="1" s="1"/>
  <c r="I677" i="1"/>
  <c r="H677" i="1" s="1"/>
  <c r="I551" i="1"/>
  <c r="H551" i="1" s="1"/>
  <c r="I257" i="1"/>
  <c r="H257" i="1" s="1"/>
  <c r="I58" i="1"/>
  <c r="H58" i="1" s="1"/>
  <c r="I346" i="1"/>
  <c r="H346" i="1" s="1"/>
  <c r="I718" i="1"/>
  <c r="H718" i="1" s="1"/>
  <c r="I556" i="1"/>
  <c r="H556" i="1" s="1"/>
  <c r="I562" i="1"/>
  <c r="H562" i="1" s="1"/>
  <c r="I340" i="1"/>
  <c r="H340" i="1" s="1"/>
  <c r="I794" i="1"/>
  <c r="H794" i="1" s="1"/>
  <c r="I512" i="1"/>
  <c r="H512" i="1" s="1"/>
  <c r="I650" i="1"/>
  <c r="H650" i="1" s="1"/>
  <c r="I446" i="1"/>
  <c r="H446" i="1" s="1"/>
  <c r="I218" i="1"/>
  <c r="H218" i="1" s="1"/>
  <c r="I722" i="1"/>
  <c r="H722" i="1" s="1"/>
  <c r="I712" i="1"/>
  <c r="H712" i="1" s="1"/>
  <c r="I563" i="1"/>
  <c r="H563" i="1" s="1"/>
  <c r="I173" i="1"/>
  <c r="H173" i="1" s="1"/>
  <c r="I317" i="1"/>
  <c r="H317" i="1" s="1"/>
  <c r="I461" i="1"/>
  <c r="H461" i="1" s="1"/>
  <c r="I701" i="1"/>
  <c r="H701" i="1" s="1"/>
  <c r="I821" i="1"/>
  <c r="H821" i="1" s="1"/>
  <c r="I47" i="1"/>
  <c r="H47" i="1" s="1"/>
  <c r="I839" i="1"/>
  <c r="H839" i="1" s="1"/>
  <c r="I41" i="1"/>
  <c r="H41" i="1" s="1"/>
  <c r="I281" i="1"/>
  <c r="H281" i="1" s="1"/>
  <c r="I790" i="1"/>
  <c r="H790" i="1" s="1"/>
  <c r="I158" i="1"/>
  <c r="H158" i="1" s="1"/>
  <c r="I578" i="1"/>
  <c r="H578" i="1" s="1"/>
  <c r="I20" i="1"/>
  <c r="H20" i="1" s="1"/>
  <c r="I362" i="1"/>
  <c r="H362" i="1" s="1"/>
  <c r="I191" i="1"/>
  <c r="H191" i="1" s="1"/>
  <c r="I335" i="1"/>
  <c r="H335" i="1" s="1"/>
  <c r="I479" i="1"/>
  <c r="H479" i="1" s="1"/>
  <c r="I719" i="1"/>
  <c r="H719" i="1" s="1"/>
  <c r="I208" i="1"/>
  <c r="H208" i="1" s="1"/>
  <c r="I628" i="1"/>
  <c r="H628" i="1" s="1"/>
  <c r="I584" i="1"/>
  <c r="H584" i="1" s="1"/>
  <c r="I224" i="1"/>
  <c r="H224" i="1" s="1"/>
  <c r="I80" i="1"/>
  <c r="H80" i="1" s="1"/>
  <c r="I146" i="1"/>
  <c r="H146" i="1" s="1"/>
  <c r="I668" i="1"/>
  <c r="H668" i="1" s="1"/>
  <c r="I380" i="1"/>
  <c r="H380" i="1" s="1"/>
  <c r="I651" i="1"/>
  <c r="H651" i="1" s="1"/>
  <c r="I418" i="1"/>
  <c r="H418" i="1" s="1"/>
  <c r="I700" i="1"/>
  <c r="H700" i="1" s="1"/>
  <c r="I130" i="1"/>
  <c r="H130" i="1" s="1"/>
  <c r="I52" i="1"/>
  <c r="H52" i="1" s="1"/>
  <c r="I341" i="1"/>
  <c r="H341" i="1" s="1"/>
  <c r="I287" i="1"/>
  <c r="H287" i="1" s="1"/>
  <c r="I472" i="1"/>
  <c r="H472" i="1" s="1"/>
  <c r="I688" i="1"/>
  <c r="H688" i="1" s="1"/>
  <c r="I641" i="1"/>
  <c r="H641" i="1" s="1"/>
  <c r="I754" i="1"/>
  <c r="H754" i="1" s="1"/>
  <c r="I484" i="1"/>
  <c r="H484" i="1" s="1"/>
  <c r="I694" i="1"/>
  <c r="H694" i="1" s="1"/>
  <c r="I838" i="1"/>
  <c r="H838" i="1" s="1"/>
  <c r="I406" i="1"/>
  <c r="H406" i="1" s="1"/>
  <c r="I772" i="1"/>
  <c r="H772" i="1" s="1"/>
  <c r="I244" i="1"/>
  <c r="H244" i="1" s="1"/>
  <c r="I490" i="1"/>
  <c r="H490" i="1" s="1"/>
  <c r="I590" i="1"/>
  <c r="H590" i="1" s="1"/>
  <c r="I442" i="1"/>
  <c r="H442" i="1" s="1"/>
  <c r="I597" i="1"/>
  <c r="H597" i="1" s="1"/>
  <c r="I657" i="1"/>
  <c r="H657" i="1" s="1"/>
  <c r="I64" i="1"/>
  <c r="H64" i="1" s="1"/>
  <c r="I280" i="1"/>
  <c r="H280" i="1" s="1"/>
  <c r="I496" i="1"/>
  <c r="H496" i="1" s="1"/>
  <c r="I826" i="1"/>
  <c r="H826" i="1" s="1"/>
  <c r="I538" i="1"/>
  <c r="H538" i="1" s="1"/>
  <c r="I28" i="1"/>
  <c r="H28" i="1" s="1"/>
  <c r="I268" i="1"/>
  <c r="H268" i="1" s="1"/>
  <c r="I502" i="1"/>
  <c r="H502" i="1" s="1"/>
  <c r="I844" i="1"/>
  <c r="H844" i="1" s="1"/>
  <c r="I430" i="1"/>
  <c r="H430" i="1" s="1"/>
  <c r="I152" i="1"/>
  <c r="H152" i="1" s="1"/>
  <c r="I524" i="1"/>
  <c r="H524" i="1" s="1"/>
  <c r="I441" i="1"/>
  <c r="H441" i="1" s="1"/>
  <c r="I286" i="1"/>
  <c r="H286" i="1" s="1"/>
  <c r="I773" i="1"/>
  <c r="H773" i="1" s="1"/>
  <c r="I142" i="1"/>
  <c r="H142" i="1" s="1"/>
  <c r="I863" i="1"/>
  <c r="H863" i="1" s="1"/>
  <c r="I424" i="1"/>
  <c r="H424" i="1" s="1"/>
  <c r="I640" i="1"/>
  <c r="H640" i="1" s="1"/>
  <c r="I856" i="1"/>
  <c r="H856" i="1" s="1"/>
  <c r="I262" i="1"/>
  <c r="H262" i="1" s="1"/>
  <c r="I634" i="1"/>
  <c r="H634" i="1" s="1"/>
  <c r="I766" i="1"/>
  <c r="H766" i="1" s="1"/>
  <c r="I124" i="1"/>
  <c r="H124" i="1" s="1"/>
  <c r="I322" i="1"/>
  <c r="H322" i="1" s="1"/>
  <c r="I214" i="1"/>
  <c r="H214" i="1" s="1"/>
  <c r="I34" i="1"/>
  <c r="H34" i="1" s="1"/>
  <c r="I236" i="1"/>
  <c r="H236" i="1" s="1"/>
  <c r="I596" i="1"/>
  <c r="H596" i="1" s="1"/>
  <c r="I74" i="1"/>
  <c r="H74" i="1" s="1"/>
  <c r="I655" i="1"/>
  <c r="H655" i="1" s="1"/>
  <c r="I330" i="1"/>
  <c r="H330" i="1" s="1"/>
  <c r="I630" i="1"/>
  <c r="H630" i="1" s="1"/>
  <c r="I19" i="1"/>
  <c r="H19" i="1" s="1"/>
  <c r="I307" i="1"/>
  <c r="H307" i="1" s="1"/>
  <c r="I79" i="1"/>
  <c r="H79" i="1" s="1"/>
  <c r="I817" i="1"/>
  <c r="H817" i="1" s="1"/>
  <c r="I174" i="1"/>
  <c r="H174" i="1" s="1"/>
  <c r="I702" i="1"/>
  <c r="H702" i="1" s="1"/>
  <c r="I852" i="1"/>
  <c r="H852" i="1" s="1"/>
  <c r="I36" i="1"/>
  <c r="H36" i="1" s="1"/>
  <c r="I714" i="1"/>
  <c r="H714" i="1" s="1"/>
  <c r="I858" i="1"/>
  <c r="H858" i="1" s="1"/>
  <c r="I229" i="1"/>
  <c r="H229" i="1" s="1"/>
  <c r="I517" i="1"/>
  <c r="H517" i="1" s="1"/>
  <c r="I492" i="1"/>
  <c r="H492" i="1" s="1"/>
  <c r="I342" i="1"/>
  <c r="H342" i="1" s="1"/>
  <c r="I595" i="1"/>
  <c r="H595" i="1" s="1"/>
  <c r="I367" i="1"/>
  <c r="H367" i="1" s="1"/>
  <c r="I486" i="1"/>
  <c r="H486" i="1" s="1"/>
  <c r="I131" i="1"/>
  <c r="H131" i="1" s="1"/>
  <c r="I347" i="1"/>
  <c r="H347" i="1" s="1"/>
  <c r="I120" i="1"/>
  <c r="H120" i="1" s="1"/>
  <c r="I408" i="1"/>
  <c r="H408" i="1" s="1"/>
  <c r="I696" i="1"/>
  <c r="H696" i="1" s="1"/>
  <c r="I425" i="1"/>
  <c r="H425" i="1" s="1"/>
  <c r="I779" i="1"/>
  <c r="H779" i="1" s="1"/>
  <c r="I396" i="1"/>
  <c r="H396" i="1" s="1"/>
  <c r="I822" i="1"/>
  <c r="H822" i="1" s="1"/>
  <c r="I491" i="1"/>
  <c r="H491" i="1" s="1"/>
  <c r="I53" i="1"/>
  <c r="H53" i="1" s="1"/>
  <c r="I269" i="1"/>
  <c r="H269" i="1" s="1"/>
  <c r="I215" i="1"/>
  <c r="H215" i="1" s="1"/>
  <c r="I431" i="1"/>
  <c r="H431" i="1" s="1"/>
  <c r="I48" i="1"/>
  <c r="H48" i="1" s="1"/>
  <c r="I336" i="1"/>
  <c r="H336" i="1" s="1"/>
  <c r="I624" i="1"/>
  <c r="H624" i="1" s="1"/>
  <c r="I569" i="1"/>
  <c r="H569" i="1" s="1"/>
  <c r="I108" i="1"/>
  <c r="H108" i="1" s="1"/>
  <c r="I186" i="1"/>
  <c r="H186" i="1" s="1"/>
  <c r="I324" i="1"/>
  <c r="H324" i="1" s="1"/>
  <c r="I612" i="1"/>
  <c r="H612" i="1" s="1"/>
  <c r="I540" i="1"/>
  <c r="H540" i="1" s="1"/>
  <c r="I59" i="1"/>
  <c r="H59" i="1" s="1"/>
  <c r="I353" i="1"/>
  <c r="H353" i="1" s="1"/>
  <c r="I180" i="1"/>
  <c r="H180" i="1" s="1"/>
  <c r="I468" i="1"/>
  <c r="H468" i="1" s="1"/>
  <c r="I707" i="1"/>
  <c r="H707" i="1" s="1"/>
  <c r="I197" i="1"/>
  <c r="H197" i="1" s="1"/>
  <c r="I413" i="1"/>
  <c r="H413" i="1" s="1"/>
  <c r="I629" i="1"/>
  <c r="H629" i="1" s="1"/>
  <c r="I845" i="1"/>
  <c r="H845" i="1" s="1"/>
  <c r="I359" i="1"/>
  <c r="H359" i="1" s="1"/>
  <c r="I575" i="1"/>
  <c r="H575" i="1" s="1"/>
  <c r="I791" i="1"/>
  <c r="H791" i="1" s="1"/>
  <c r="I264" i="1"/>
  <c r="H264" i="1" s="1"/>
  <c r="I552" i="1"/>
  <c r="H552" i="1" s="1"/>
  <c r="I840" i="1"/>
  <c r="H840" i="1" s="1"/>
  <c r="I137" i="1"/>
  <c r="H137" i="1" s="1"/>
  <c r="I713" i="1"/>
  <c r="H713" i="1" s="1"/>
  <c r="I275" i="1"/>
  <c r="H275" i="1" s="1"/>
  <c r="I203" i="1"/>
  <c r="H203" i="1" s="1"/>
  <c r="I419" i="1"/>
  <c r="H419" i="1" s="1"/>
  <c r="I635" i="1"/>
  <c r="H635" i="1" s="1"/>
  <c r="I102" i="1"/>
  <c r="H102" i="1" s="1"/>
  <c r="I143" i="1"/>
  <c r="H143" i="1" s="1"/>
  <c r="I857" i="1"/>
  <c r="H857" i="1" s="1"/>
  <c r="I497" i="1"/>
  <c r="H497" i="1" s="1"/>
  <c r="I252" i="1"/>
  <c r="H252" i="1" s="1"/>
  <c r="I114" i="1"/>
  <c r="H114" i="1" s="1"/>
  <c r="I762" i="1"/>
  <c r="H762" i="1" s="1"/>
  <c r="I690" i="1"/>
  <c r="H690" i="1" s="1"/>
  <c r="I462" i="1"/>
  <c r="H462" i="1" s="1"/>
  <c r="I618" i="1"/>
  <c r="H618" i="1" s="1"/>
  <c r="I834" i="1"/>
  <c r="H834" i="1" s="1"/>
  <c r="I169" i="1"/>
  <c r="H169" i="1" s="1"/>
  <c r="I457" i="1"/>
  <c r="H457" i="1" s="1"/>
  <c r="I745" i="1"/>
  <c r="H745" i="1" s="1"/>
  <c r="I235" i="1"/>
  <c r="H235" i="1" s="1"/>
  <c r="I523" i="1"/>
  <c r="H523" i="1" s="1"/>
  <c r="I157" i="1"/>
  <c r="H157" i="1" s="1"/>
  <c r="I445" i="1"/>
  <c r="H445" i="1" s="1"/>
  <c r="I733" i="1"/>
  <c r="H733" i="1" s="1"/>
  <c r="I7" i="1"/>
  <c r="H7" i="1" s="1"/>
  <c r="I295" i="1"/>
  <c r="H295" i="1" s="1"/>
  <c r="I583" i="1"/>
  <c r="H583" i="1" s="1"/>
  <c r="I27" i="1"/>
  <c r="H27" i="1" s="1"/>
  <c r="I111" i="1"/>
  <c r="H111" i="1" s="1"/>
  <c r="I177" i="1"/>
  <c r="H177" i="1" s="1"/>
  <c r="I261" i="1"/>
  <c r="H261" i="1" s="1"/>
  <c r="I321" i="1"/>
  <c r="H321" i="1" s="1"/>
  <c r="I405" i="1"/>
  <c r="H405" i="1" s="1"/>
  <c r="I543" i="1"/>
  <c r="H543" i="1" s="1"/>
  <c r="I621" i="1"/>
  <c r="H621" i="1" s="1"/>
  <c r="I825" i="1"/>
  <c r="H825" i="1" s="1"/>
  <c r="I471" i="1"/>
  <c r="H471" i="1" s="1"/>
  <c r="I687" i="1"/>
  <c r="H687" i="1" s="1"/>
  <c r="I33" i="1"/>
  <c r="H33" i="1" s="1"/>
  <c r="I117" i="1"/>
  <c r="H117" i="1" s="1"/>
  <c r="I183" i="1"/>
  <c r="H183" i="1" s="1"/>
  <c r="I243" i="1"/>
  <c r="H243" i="1" s="1"/>
  <c r="I327" i="1"/>
  <c r="H327" i="1" s="1"/>
  <c r="I387" i="1"/>
  <c r="H387" i="1" s="1"/>
  <c r="I531" i="1"/>
  <c r="H531" i="1" s="1"/>
  <c r="I603" i="1"/>
  <c r="H603" i="1" s="1"/>
  <c r="I759" i="1"/>
  <c r="H759" i="1" s="1"/>
  <c r="I837" i="1"/>
  <c r="H837" i="1" s="1"/>
  <c r="I465" i="1"/>
  <c r="H465" i="1" s="1"/>
  <c r="I99" i="1"/>
  <c r="H99" i="1" s="1"/>
  <c r="I477" i="1"/>
  <c r="H477" i="1" s="1"/>
  <c r="I549" i="1"/>
  <c r="H549" i="1" s="1"/>
  <c r="I675" i="1"/>
  <c r="H675" i="1" s="1"/>
  <c r="I693" i="1"/>
  <c r="H693" i="1" s="1"/>
  <c r="I831" i="1"/>
  <c r="H831" i="1" s="1"/>
  <c r="I459" i="1"/>
  <c r="H459" i="1" s="1"/>
  <c r="I747" i="1"/>
  <c r="H747" i="1" s="1"/>
  <c r="I39" i="1"/>
  <c r="H39" i="1" s="1"/>
  <c r="I189" i="1"/>
  <c r="H189" i="1" s="1"/>
  <c r="I249" i="1"/>
  <c r="H249" i="1" s="1"/>
  <c r="I333" i="1"/>
  <c r="H333" i="1" s="1"/>
  <c r="I393" i="1"/>
  <c r="H393" i="1" s="1"/>
  <c r="I609" i="1"/>
  <c r="H609" i="1" s="1"/>
  <c r="I765" i="1"/>
  <c r="H765" i="1" s="1"/>
  <c r="I45" i="1"/>
  <c r="H45" i="1" s="1"/>
  <c r="I105" i="1"/>
  <c r="H105" i="1" s="1"/>
  <c r="I171" i="1"/>
  <c r="H171" i="1" s="1"/>
  <c r="I255" i="1"/>
  <c r="H255" i="1" s="1"/>
  <c r="I315" i="1"/>
  <c r="H315" i="1" s="1"/>
  <c r="I399" i="1"/>
  <c r="H399" i="1" s="1"/>
  <c r="I537" i="1"/>
  <c r="H537" i="1" s="1"/>
  <c r="I615" i="1"/>
  <c r="H615" i="1" s="1"/>
  <c r="I681" i="1"/>
  <c r="H681" i="1" s="1"/>
  <c r="I819" i="1"/>
  <c r="H819" i="1" s="1"/>
  <c r="I753" i="1"/>
  <c r="H753" i="1" s="1"/>
  <c r="I97" i="1"/>
  <c r="H97" i="1" s="1"/>
  <c r="I385" i="1"/>
  <c r="H385" i="1" s="1"/>
  <c r="I673" i="1"/>
  <c r="H673" i="1" s="1"/>
  <c r="I51" i="1"/>
  <c r="H51" i="1" s="1"/>
  <c r="I135" i="1"/>
  <c r="H135" i="1" s="1"/>
  <c r="I285" i="1"/>
  <c r="H285" i="1" s="1"/>
  <c r="I429" i="1"/>
  <c r="H429" i="1" s="1"/>
  <c r="I639" i="1"/>
  <c r="H639" i="1" s="1"/>
  <c r="I861" i="1"/>
  <c r="H861" i="1" s="1"/>
  <c r="I711" i="1"/>
  <c r="H711" i="1" s="1"/>
  <c r="I777" i="1"/>
  <c r="H777" i="1" s="1"/>
  <c r="I201" i="1"/>
  <c r="H201" i="1" s="1"/>
  <c r="I345" i="1"/>
  <c r="H345" i="1" s="1"/>
  <c r="I489" i="1"/>
  <c r="H489" i="1" s="1"/>
  <c r="I567" i="1"/>
  <c r="H567" i="1" s="1"/>
  <c r="I57" i="1"/>
  <c r="H57" i="1" s="1"/>
  <c r="I141" i="1"/>
  <c r="H141" i="1" s="1"/>
  <c r="I267" i="1"/>
  <c r="H267" i="1" s="1"/>
  <c r="I411" i="1"/>
  <c r="H411" i="1" s="1"/>
  <c r="I849" i="1"/>
  <c r="H849" i="1" s="1"/>
  <c r="I501" i="1"/>
  <c r="H501" i="1" s="1"/>
  <c r="I555" i="1"/>
  <c r="H555" i="1" s="1"/>
  <c r="I789" i="1"/>
  <c r="H789" i="1" s="1"/>
  <c r="I843" i="1"/>
  <c r="H843" i="1" s="1"/>
  <c r="I207" i="1"/>
  <c r="H207" i="1" s="1"/>
  <c r="I351" i="1"/>
  <c r="H351" i="1" s="1"/>
  <c r="I495" i="1"/>
  <c r="H495" i="1" s="1"/>
  <c r="I573" i="1"/>
  <c r="H573" i="1" s="1"/>
  <c r="I627" i="1"/>
  <c r="H627" i="1" s="1"/>
  <c r="I645" i="1"/>
  <c r="H645" i="1" s="1"/>
  <c r="I783" i="1"/>
  <c r="H783" i="1" s="1"/>
  <c r="I633" i="1"/>
  <c r="H633" i="1" s="1"/>
  <c r="I699" i="1"/>
  <c r="H699" i="1" s="1"/>
  <c r="I63" i="1"/>
  <c r="H63" i="1" s="1"/>
  <c r="I123" i="1"/>
  <c r="H123" i="1" s="1"/>
  <c r="I273" i="1"/>
  <c r="H273" i="1" s="1"/>
  <c r="I417" i="1"/>
  <c r="H417" i="1" s="1"/>
  <c r="I855" i="1"/>
  <c r="H855" i="1" s="1"/>
  <c r="I717" i="1"/>
  <c r="H717" i="1" s="1"/>
  <c r="I561" i="1"/>
  <c r="H561" i="1" s="1"/>
  <c r="I213" i="1"/>
  <c r="H213" i="1" s="1"/>
  <c r="I357" i="1"/>
  <c r="H357" i="1" s="1"/>
  <c r="I69" i="1"/>
  <c r="H69" i="1" s="1"/>
  <c r="I129" i="1"/>
  <c r="H129" i="1" s="1"/>
  <c r="I279" i="1"/>
  <c r="H279" i="1" s="1"/>
  <c r="I339" i="1"/>
  <c r="H339" i="1" s="1"/>
  <c r="I423" i="1"/>
  <c r="H423" i="1" s="1"/>
  <c r="I483" i="1"/>
  <c r="H483" i="1" s="1"/>
  <c r="I771" i="1"/>
  <c r="H771" i="1" s="1"/>
  <c r="I195" i="1"/>
  <c r="H195" i="1" s="1"/>
  <c r="I705" i="1"/>
  <c r="H705" i="1" s="1"/>
  <c r="I451" i="1"/>
  <c r="H451" i="1" s="1"/>
  <c r="I85" i="1"/>
  <c r="H85" i="1" s="1"/>
  <c r="I373" i="1"/>
  <c r="H373" i="1" s="1"/>
  <c r="I661" i="1"/>
  <c r="H661" i="1" s="1"/>
  <c r="I223" i="1"/>
  <c r="H223" i="1" s="1"/>
  <c r="I511" i="1"/>
  <c r="H511" i="1" s="1"/>
  <c r="I799" i="1"/>
  <c r="H799" i="1" s="1"/>
  <c r="I200" i="1"/>
  <c r="H200" i="1" s="1"/>
  <c r="I344" i="1"/>
  <c r="H344" i="1" s="1"/>
  <c r="I488" i="1"/>
  <c r="H488" i="1" s="1"/>
  <c r="I566" i="1"/>
  <c r="H566" i="1" s="1"/>
  <c r="I710" i="1"/>
  <c r="H710" i="1" s="1"/>
  <c r="I776" i="1"/>
  <c r="H776" i="1" s="1"/>
  <c r="I848" i="1"/>
  <c r="H848" i="1" s="1"/>
  <c r="I56" i="1"/>
  <c r="H56" i="1" s="1"/>
  <c r="I140" i="1"/>
  <c r="H140" i="1" s="1"/>
  <c r="I266" i="1"/>
  <c r="H266" i="1" s="1"/>
  <c r="I410" i="1"/>
  <c r="H410" i="1" s="1"/>
  <c r="I206" i="1"/>
  <c r="H206" i="1" s="1"/>
  <c r="I350" i="1"/>
  <c r="H350" i="1" s="1"/>
  <c r="I494" i="1"/>
  <c r="H494" i="1" s="1"/>
  <c r="I572" i="1"/>
  <c r="H572" i="1" s="1"/>
  <c r="I626" i="1"/>
  <c r="H626" i="1" s="1"/>
  <c r="I644" i="1"/>
  <c r="H644" i="1" s="1"/>
  <c r="I782" i="1"/>
  <c r="H782" i="1" s="1"/>
  <c r="I770" i="1"/>
  <c r="H770" i="1" s="1"/>
  <c r="I62" i="1"/>
  <c r="H62" i="1" s="1"/>
  <c r="I122" i="1"/>
  <c r="H122" i="1" s="1"/>
  <c r="I272" i="1"/>
  <c r="H272" i="1" s="1"/>
  <c r="I416" i="1"/>
  <c r="H416" i="1" s="1"/>
  <c r="I854" i="1"/>
  <c r="H854" i="1" s="1"/>
  <c r="I860" i="1"/>
  <c r="H860" i="1" s="1"/>
  <c r="I212" i="1"/>
  <c r="H212" i="1" s="1"/>
  <c r="I356" i="1"/>
  <c r="H356" i="1" s="1"/>
  <c r="I500" i="1"/>
  <c r="H500" i="1" s="1"/>
  <c r="I554" i="1"/>
  <c r="H554" i="1" s="1"/>
  <c r="I632" i="1"/>
  <c r="H632" i="1" s="1"/>
  <c r="I698" i="1"/>
  <c r="H698" i="1" s="1"/>
  <c r="I716" i="1"/>
  <c r="H716" i="1" s="1"/>
  <c r="I482" i="1"/>
  <c r="H482" i="1" s="1"/>
  <c r="I68" i="1"/>
  <c r="H68" i="1" s="1"/>
  <c r="I128" i="1"/>
  <c r="H128" i="1" s="1"/>
  <c r="I278" i="1"/>
  <c r="H278" i="1" s="1"/>
  <c r="I338" i="1"/>
  <c r="H338" i="1" s="1"/>
  <c r="I422" i="1"/>
  <c r="H422" i="1" s="1"/>
  <c r="I194" i="1"/>
  <c r="H194" i="1" s="1"/>
  <c r="I560" i="1"/>
  <c r="H560" i="1" s="1"/>
  <c r="I704" i="1"/>
  <c r="H704" i="1" s="1"/>
  <c r="I788" i="1"/>
  <c r="H788" i="1" s="1"/>
  <c r="I842" i="1"/>
  <c r="H842" i="1" s="1"/>
  <c r="I50" i="1"/>
  <c r="H50" i="1" s="1"/>
  <c r="I134" i="1"/>
  <c r="H134" i="1" s="1"/>
  <c r="I284" i="1"/>
  <c r="H284" i="1" s="1"/>
  <c r="I428" i="1"/>
  <c r="H428" i="1" s="1"/>
  <c r="I638" i="1"/>
  <c r="H638" i="1" s="1"/>
  <c r="I756" i="1"/>
  <c r="H756" i="1" s="1"/>
  <c r="I546" i="1"/>
  <c r="H546" i="1" s="1"/>
  <c r="I828" i="1"/>
  <c r="H828" i="1" s="1"/>
  <c r="I534" i="1"/>
  <c r="H534" i="1" s="1"/>
  <c r="I678" i="1"/>
  <c r="H678" i="1" s="1"/>
  <c r="I684" i="1"/>
  <c r="H684" i="1" s="1"/>
  <c r="I163" i="1"/>
  <c r="H163" i="1" s="1"/>
  <c r="I25" i="1"/>
  <c r="H25" i="1" s="1"/>
  <c r="I313" i="1"/>
  <c r="H313" i="1" s="1"/>
  <c r="I470" i="1"/>
  <c r="H470" i="1" s="1"/>
  <c r="I686" i="1"/>
  <c r="H686" i="1" s="1"/>
  <c r="I530" i="1"/>
  <c r="H530" i="1" s="1"/>
  <c r="I602" i="1"/>
  <c r="H602" i="1" s="1"/>
  <c r="I758" i="1"/>
  <c r="H758" i="1" s="1"/>
  <c r="I32" i="1"/>
  <c r="H32" i="1" s="1"/>
  <c r="I116" i="1"/>
  <c r="H116" i="1" s="1"/>
  <c r="I182" i="1"/>
  <c r="H182" i="1" s="1"/>
  <c r="I242" i="1"/>
  <c r="H242" i="1" s="1"/>
  <c r="I326" i="1"/>
  <c r="H326" i="1" s="1"/>
  <c r="I386" i="1"/>
  <c r="H386" i="1" s="1"/>
  <c r="I98" i="1"/>
  <c r="H98" i="1" s="1"/>
  <c r="I476" i="1"/>
  <c r="H476" i="1" s="1"/>
  <c r="I548" i="1"/>
  <c r="H548" i="1" s="1"/>
  <c r="I674" i="1"/>
  <c r="H674" i="1" s="1"/>
  <c r="I692" i="1"/>
  <c r="H692" i="1" s="1"/>
  <c r="I830" i="1"/>
  <c r="H830" i="1" s="1"/>
  <c r="I614" i="1"/>
  <c r="H614" i="1" s="1"/>
  <c r="I38" i="1"/>
  <c r="H38" i="1" s="1"/>
  <c r="I188" i="1"/>
  <c r="H188" i="1" s="1"/>
  <c r="I248" i="1"/>
  <c r="H248" i="1" s="1"/>
  <c r="I332" i="1"/>
  <c r="H332" i="1" s="1"/>
  <c r="I392" i="1"/>
  <c r="H392" i="1" s="1"/>
  <c r="I608" i="1"/>
  <c r="H608" i="1" s="1"/>
  <c r="I764" i="1"/>
  <c r="H764" i="1" s="1"/>
  <c r="I818" i="1"/>
  <c r="H818" i="1" s="1"/>
  <c r="I404" i="1"/>
  <c r="H404" i="1" s="1"/>
  <c r="I458" i="1"/>
  <c r="H458" i="1" s="1"/>
  <c r="I746" i="1"/>
  <c r="H746" i="1" s="1"/>
  <c r="I836" i="1"/>
  <c r="H836" i="1" s="1"/>
  <c r="I536" i="1"/>
  <c r="H536" i="1" s="1"/>
  <c r="I680" i="1"/>
  <c r="H680" i="1" s="1"/>
  <c r="I320" i="1"/>
  <c r="H320" i="1" s="1"/>
  <c r="I620" i="1"/>
  <c r="H620" i="1" s="1"/>
  <c r="I44" i="1"/>
  <c r="H44" i="1" s="1"/>
  <c r="I104" i="1"/>
  <c r="H104" i="1" s="1"/>
  <c r="I170" i="1"/>
  <c r="H170" i="1" s="1"/>
  <c r="I254" i="1"/>
  <c r="H254" i="1" s="1"/>
  <c r="I314" i="1"/>
  <c r="H314" i="1" s="1"/>
  <c r="I398" i="1"/>
  <c r="H398" i="1" s="1"/>
  <c r="I542" i="1"/>
  <c r="H542" i="1" s="1"/>
  <c r="I464" i="1"/>
  <c r="H464" i="1" s="1"/>
  <c r="I752" i="1"/>
  <c r="H752" i="1" s="1"/>
  <c r="I26" i="1"/>
  <c r="H26" i="1" s="1"/>
  <c r="I110" i="1"/>
  <c r="H110" i="1" s="1"/>
  <c r="I176" i="1"/>
  <c r="H176" i="1" s="1"/>
  <c r="I260" i="1"/>
  <c r="H260" i="1" s="1"/>
  <c r="I824" i="1"/>
  <c r="H824" i="1" s="1"/>
  <c r="I739" i="1"/>
  <c r="H739" i="1" s="1"/>
  <c r="I811" i="1"/>
  <c r="H811" i="1" s="1"/>
  <c r="I667" i="1"/>
  <c r="H667" i="1" s="1"/>
  <c r="I91" i="1"/>
  <c r="H91" i="1" s="1"/>
  <c r="I379" i="1"/>
  <c r="H379" i="1" s="1"/>
  <c r="I13" i="1"/>
  <c r="H13" i="1" s="1"/>
  <c r="I301" i="1"/>
  <c r="H301" i="1" s="1"/>
  <c r="I589" i="1"/>
  <c r="H589" i="1" s="1"/>
  <c r="I151" i="1"/>
  <c r="H151" i="1" s="1"/>
  <c r="I439" i="1"/>
  <c r="H439" i="1" s="1"/>
  <c r="I727" i="1"/>
  <c r="H727" i="1" s="1"/>
  <c r="I241" i="1"/>
  <c r="H241" i="1" s="1"/>
  <c r="I529" i="1"/>
  <c r="H529" i="1" s="1"/>
  <c r="I334" i="1"/>
  <c r="H334" i="1" s="1"/>
  <c r="I622" i="1"/>
  <c r="H622" i="1" s="1"/>
  <c r="I532" i="1"/>
  <c r="H532" i="1" s="1"/>
  <c r="I100" i="1"/>
  <c r="H100" i="1" s="1"/>
  <c r="I478" i="1"/>
  <c r="H478" i="1" s="1"/>
  <c r="I190" i="1"/>
  <c r="H190" i="1" s="1"/>
  <c r="I715" i="1"/>
  <c r="H715" i="1" s="1"/>
  <c r="I787" i="1"/>
  <c r="H787" i="1" s="1"/>
  <c r="I859" i="1"/>
  <c r="H859" i="1" s="1"/>
  <c r="I726" i="1"/>
  <c r="H726" i="1" s="1"/>
  <c r="I666" i="1"/>
  <c r="H666" i="1" s="1"/>
  <c r="I654" i="1"/>
  <c r="H654" i="1" s="1"/>
  <c r="I588" i="1"/>
  <c r="H588" i="1" s="1"/>
  <c r="I798" i="1"/>
  <c r="H798" i="1" s="1"/>
  <c r="I738" i="1"/>
  <c r="H738" i="1" s="1"/>
  <c r="I84" i="1"/>
  <c r="H84" i="1" s="1"/>
</calcChain>
</file>

<file path=xl/sharedStrings.xml><?xml version="1.0" encoding="utf-8"?>
<sst xmlns="http://schemas.openxmlformats.org/spreadsheetml/2006/main" count="4685" uniqueCount="125">
  <si>
    <t>ID</t>
  </si>
  <si>
    <t>Month</t>
  </si>
  <si>
    <t>Month Year</t>
  </si>
  <si>
    <t>Market</t>
  </si>
  <si>
    <t>Channel</t>
  </si>
  <si>
    <t>SKU</t>
  </si>
  <si>
    <t>Units_Sold</t>
  </si>
  <si>
    <t>Selling_Price_USD</t>
  </si>
  <si>
    <t>COGS_USD</t>
  </si>
  <si>
    <t>Gross_Margin_USD</t>
  </si>
  <si>
    <t>Gross_Margin_%</t>
  </si>
  <si>
    <t>Promotion_Flag</t>
  </si>
  <si>
    <t>Promo_Discount_%</t>
  </si>
  <si>
    <t>Campaign_Name</t>
  </si>
  <si>
    <t>Data_Type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</si>
  <si>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</si>
  <si>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</si>
  <si>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</si>
  <si>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</si>
  <si>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</si>
  <si>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</si>
  <si>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</si>
  <si>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</si>
  <si>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</si>
  <si>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</si>
  <si>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</si>
  <si>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</si>
  <si>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UK</t>
  </si>
  <si>
    <t>USA</t>
  </si>
  <si>
    <t>UAE</t>
  </si>
  <si>
    <t>DTC, Sephora, Travel Retail, Wholesale</t>
  </si>
  <si>
    <t>DTC</t>
  </si>
  <si>
    <t>Sephora</t>
  </si>
  <si>
    <t>Travel Retail</t>
  </si>
  <si>
    <t>Wholesale</t>
  </si>
  <si>
    <t>Vanilla 28</t>
  </si>
  <si>
    <t>Eden Juicy Apple 01</t>
  </si>
  <si>
    <t>Oudgasm Tobacco Oud 04</t>
  </si>
  <si>
    <t>Yum Pistachio Gelato 33</t>
  </si>
  <si>
    <t>Freedom Musk Santal 34</t>
  </si>
  <si>
    <t>Musk 12</t>
  </si>
  <si>
    <t>$14,000,000</t>
  </si>
  <si>
    <r>
      <t xml:space="preserve">Kayali's US luxury perfume market value was estimated at $7.5 billion in 2024. Kayali was confirmed as the #1 fragrance brand at Sephora in H1 2025 and hit $100M in US sales in 7 months — so roughly </t>
    </r>
    <r>
      <rPr>
        <b/>
        <sz val="11"/>
        <color theme="1"/>
        <rFont val="Calibri"/>
        <family val="2"/>
        <scheme val="minor"/>
      </rPr>
      <t>$14M per month in the US across all channels.</t>
    </r>
  </si>
  <si>
    <t>% of Revenue</t>
  </si>
  <si>
    <t>Oudgasm Tobacco 28</t>
  </si>
  <si>
    <t>Multiplier</t>
  </si>
  <si>
    <t>Campaign</t>
  </si>
  <si>
    <t>Months Active</t>
  </si>
  <si>
    <t>Markets</t>
  </si>
  <si>
    <t>Discount %</t>
  </si>
  <si>
    <t>Valentine's Day</t>
  </si>
  <si>
    <t>All</t>
  </si>
  <si>
    <t>Summer Sale</t>
  </si>
  <si>
    <t>US + UK</t>
  </si>
  <si>
    <t>Freedom Launch</t>
  </si>
  <si>
    <t>0% (no discount — new launch)</t>
  </si>
  <si>
    <t>Black Friday</t>
  </si>
  <si>
    <t>"All revenue figures reported in USD. UK prices converted at GBP/USD 1.27. UAE prices converted at AED/USD 0.27. Exchange rates based on 2024 annual averages."</t>
  </si>
  <si>
    <t>Travel_Retail</t>
  </si>
  <si>
    <t>Total</t>
  </si>
  <si>
    <r>
      <t>Why Travel Retail is higher for UAE:</t>
    </r>
    <r>
      <rPr>
        <sz val="11"/>
        <color theme="1"/>
        <rFont val="Calibri"/>
        <family val="2"/>
        <scheme val="minor"/>
      </rPr>
      <t xml:space="preserve"> Dubai and Abu Dhabi airports are among the world's busiest luxury retail hubs — fragrance travel retail is a major channel in the UAE specifically.</t>
    </r>
  </si>
  <si>
    <r>
      <t>Why Wholesale is higher for UK:</t>
    </r>
    <r>
      <rPr>
        <sz val="11"/>
        <color theme="1"/>
        <rFont val="Calibri"/>
        <family val="2"/>
        <scheme val="minor"/>
      </rPr>
      <t xml:space="preserve"> The presence of Cult Beauty, ASOS and Selfridges as separate retail partners means a larger share of UK revenue flows through wholesale accounts compared to the US where Sephora has near-exclusivity.</t>
    </r>
  </si>
  <si>
    <t>Reasoning</t>
  </si>
  <si>
    <t>Confirmed $100M in 7 months — largest market</t>
  </si>
  <si>
    <t>$2,500,000</t>
  </si>
  <si>
    <t>Home market — own stores + Sephora AE + strong cultural demand</t>
  </si>
  <si>
    <t>$2,000,000</t>
  </si>
  <si>
    <t>Established market — Sephora UK + Cult Beauty + ASOS + Selfridges</t>
  </si>
  <si>
    <t>US % of Revenue</t>
  </si>
  <si>
    <t>UK % of Revenue</t>
  </si>
  <si>
    <t>UAE % of Revenue</t>
  </si>
  <si>
    <t>Monthly Baseline</t>
  </si>
  <si>
    <t>Country</t>
  </si>
  <si>
    <t>Country % of Revenue</t>
  </si>
  <si>
    <t>Country's Monthly Revenue</t>
  </si>
  <si>
    <t>Monthly Revenue in USD</t>
  </si>
  <si>
    <t>GBP</t>
  </si>
  <si>
    <t>AED</t>
  </si>
  <si>
    <t>Use these standard 2024 average exchange rates:</t>
  </si>
  <si>
    <t>1 GBP = 1.27 USD</t>
  </si>
  <si>
    <t>1 AED = 0.27 USD</t>
  </si>
  <si>
    <t>usd/gbp/ aed</t>
  </si>
  <si>
    <t>Final Price in USD</t>
  </si>
  <si>
    <t>Price in USD</t>
  </si>
  <si>
    <t>SKU-COUNTRY</t>
  </si>
  <si>
    <t>Vanilla 28-USA</t>
  </si>
  <si>
    <t>Vanilla 28-UK</t>
  </si>
  <si>
    <t>Vanilla 28-UAE</t>
  </si>
  <si>
    <t>Eden Juicy Apple 01-USA</t>
  </si>
  <si>
    <t>Eden Juicy Apple 01-UK</t>
  </si>
  <si>
    <t>Eden Juicy Apple 01-UAE</t>
  </si>
  <si>
    <t>Yum Pistachio Gelato 33-USA</t>
  </si>
  <si>
    <t>Yum Pistachio Gelato 33-UK</t>
  </si>
  <si>
    <t>Yum Pistachio Gelato 33-UAE</t>
  </si>
  <si>
    <t>Freedom Musk Santal 34-USA</t>
  </si>
  <si>
    <t>Freedom Musk Santal 34-UK</t>
  </si>
  <si>
    <t>Freedom Musk Santal 34-UAE</t>
  </si>
  <si>
    <t>Musk 12-USA</t>
  </si>
  <si>
    <t>Musk 12-UK</t>
  </si>
  <si>
    <t>Musk 12-UAE</t>
  </si>
  <si>
    <t>Post-holiday spending hangover. Consumers just spent heavily in November and December on gifts. January is consistently the slowest retail month globally across all luxury categories.</t>
  </si>
  <si>
    <t>Valentine's Day. Fragrance is the #1 gifting category for Valentine's Day worldwide. Kayali specifically runs Valentine's promotions — we already captured this in your Campaign_Name column.</t>
  </si>
  <si>
    <t>Return to normal. No major gifting occasion or holiday. Slight recovery from January but still below baseline.</t>
  </si>
  <si>
    <t>Quiet month commercially. In UAE this overlaps with post-Ramadan period where spending patterns normalise after Eid gifting surge.</t>
  </si>
  <si>
    <t>Slight pickup. Mother's Day in US and UK falls in May — fragrance is a popular Mother's Day gift but not as impactful as Valentine's or Christmas.</t>
  </si>
  <si>
    <t>Early summer slowdown. Consumers shift spending toward travel and experiences rather than luxury goods.</t>
  </si>
  <si>
    <t>Peak summer slowdown. Lowest non-January month. In UAE this is also peak summer heat season when residents travel abroad reducing local retail foot traffic significantly.</t>
  </si>
  <si>
    <t>Slight recovery. Back to school period in US and UK. UAE residents return from summer travel. Retail begins rebuilding momentum.</t>
  </si>
  <si>
    <t>Baseline month. No major events but autumn retail season begins. This is also when Kayali's Freedom collection launch is set — new launches always drive a spike in brand awareness and traffic.</t>
  </si>
  <si>
    <t>Pre-holiday buildup begins. Consumers start Christmas shopping earlier every year. Retailers begin promoting gift sets and holiday editions. In UAE this also captures early preparation for National Day gifting season.</t>
  </si>
  <si>
    <t>Black Friday and Cyber Monday. Biggest single sales event of the year in US and UK. Kayali runs significant promotions — already captured in your Campaign column. November is when holiday gifting purchases accelerate sharply.</t>
  </si>
  <si>
    <t>Peak Christmas and holiday season. Fragrance is the #1 luxury gift category globally. Every retailer pushes fragrance gift sets heavily. In UAE December also captures National Day (December 2nd) gifting which is significant for home market sales.</t>
  </si>
  <si>
    <t>SKU-MARKET</t>
  </si>
  <si>
    <t>Monthly Revenue</t>
  </si>
  <si>
    <t>Oudgasm Tobacco Oud 04-USA</t>
  </si>
  <si>
    <t>Oudgasm Tobacco Oud 04-UK</t>
  </si>
  <si>
    <t>Oudgasm Tobacco Oud 04-UAE</t>
  </si>
  <si>
    <t>SKU-COUNTRY2</t>
  </si>
  <si>
    <t>Revenue USD</t>
  </si>
  <si>
    <t>COGS %</t>
  </si>
  <si>
    <t>Gross Margin %</t>
  </si>
  <si>
    <t>Eid Al Fitr</t>
  </si>
  <si>
    <t>UAE only</t>
  </si>
  <si>
    <t>Eid Al Adha</t>
  </si>
  <si>
    <t>Stimulated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</si>
</sst>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17" fontId="0" fillId="0" borderId="0" xfId="0" applyNumberFormat="1"/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0" fillId="2" borderId="3" xfId="0" applyNumberFormat="1" applyFill="1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0" fontId="2" fillId="3" borderId="4" xfId="0" applyFont="1" applyFill="1" applyBorder="1"/>
    <xf numFmtId="3" fontId="0" fillId="0" borderId="0" xfId="0" applyNumberFormat="1"/>
    <xf numFmtId="0" fontId="3" fillId="0" borderId="5" xfId="0" applyFont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1" fontId="0" fillId="0" borderId="0" xfId="0" applyNumberFormat="1"/>
    <xf numFmtId="0" fontId="2" fillId="3" borderId="0" xfId="0" applyFont="1" applyFill="1"/>
    <xf numFmtId="17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/>
    </xf>
    <xf numFmtId="0" fontId="2" fillId="3" borderId="4" xfId="0" applyFont="1" applyFill="1" applyBorder="1" applyAlignment="1">
      <alignment wrapText="1"/>
    </xf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42"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2" formatCode="mmm/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" formatCode="0"/>
    </dxf>
    <dxf>
      <border diagonalUp="0" diagonalDown="0" outline="0">
        <left/>
        <right/>
        <top style="thin">
          <color theme="1"/>
        </top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numFmt numFmtId="1" formatCode="0"/>
    </dxf>
    <dxf>
      <numFmt numFmtId="0" formatCode="General"/>
    </dxf>
    <dxf>
      <numFmt numFmtId="13" formatCode="0%"/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9A89E4-D2EF-4410-98A9-FB61C11607F4}" name="Table5" displayName="Table5" ref="A1:G4" totalsRowShown="0">
  <autoFilter ref="A1:G4" xr:uid="{FA9A89E4-D2EF-4410-98A9-FB61C11607F4}"/>
  <tableColumns count="7">
    <tableColumn id="1" xr3:uid="{AB6B95FF-378C-4632-97B4-A52EDFB4EDA5}" name="Country % of Revenue"/>
    <tableColumn id="7" xr3:uid="{D2B017E1-04B9-4168-8A73-EC9C86B3A414}" name="Country"/>
    <tableColumn id="2" xr3:uid="{E04BBE41-032B-4C46-9F67-7025AD4399C0}" name="Sephora" dataDxfId="41"/>
    <tableColumn id="3" xr3:uid="{A077AD44-3C56-499A-B480-9E88B15E08BF}" name="DTC" dataDxfId="40"/>
    <tableColumn id="4" xr3:uid="{A838A630-5E0C-4936-9E09-9B5F44441A13}" name="Travel Retail" dataDxfId="39"/>
    <tableColumn id="5" xr3:uid="{99FF59C6-062B-416C-9B59-C939C018F07B}" name="Wholesale" dataDxfId="38"/>
    <tableColumn id="6" xr3:uid="{9B03113F-7FB9-447E-BDA3-1678EC627212}" name="Monthly Revenue in US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2ACC74-8C8A-4B64-B2C8-B43E0BD3DF6E}" name="Table6" displayName="Table6" ref="A7:E10" totalsRowShown="0" headerRowDxfId="37" dataDxfId="36">
  <autoFilter ref="A7:E10" xr:uid="{DC2ACC74-8C8A-4B64-B2C8-B43E0BD3DF6E}"/>
  <tableColumns count="5">
    <tableColumn id="1" xr3:uid="{E7EF14AC-8939-4FDB-9669-3CD26EA35373}" name="Country's Monthly Revenue" dataDxfId="35"/>
    <tableColumn id="2" xr3:uid="{A654F462-664E-45BB-8EBB-95A749691699}" name="Sephora" dataDxfId="34">
      <calculatedColumnFormula>$G2*C2</calculatedColumnFormula>
    </tableColumn>
    <tableColumn id="3" xr3:uid="{87E05B41-6069-45A2-9416-1021C53CE2EC}" name="DTC" dataDxfId="33">
      <calculatedColumnFormula>$G2*D2</calculatedColumnFormula>
    </tableColumn>
    <tableColumn id="4" xr3:uid="{CD2A612D-8CE0-4C4C-B1BE-2873F91EBC26}" name="Travel Retail" dataDxfId="32">
      <calculatedColumnFormula>$G2*E2</calculatedColumnFormula>
    </tableColumn>
    <tableColumn id="5" xr3:uid="{014964FA-1C34-490D-AC52-97AEAF6F0FE0}" name="Wholesale" dataDxfId="31">
      <calculatedColumnFormula>$G2*F2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0C9ADF-2825-4B7A-85BB-4965CB6FCD0F}" name="Table4" displayName="Table4" ref="A16:J34" totalsRowShown="0" headerRowDxfId="30" tableBorderDxfId="29">
  <autoFilter ref="A16:J34" xr:uid="{2A0E4166-7761-459E-BF84-6007876B0B38}"/>
  <tableColumns count="10">
    <tableColumn id="1" xr3:uid="{D4F0219A-328A-4E76-B8C5-D9D2BC40CDA5}" name="SKU" dataDxfId="28"/>
    <tableColumn id="2" xr3:uid="{B5BBBCDA-6EA0-4757-9DC3-FEE647CFE2B0}" name="Country" dataDxfId="27"/>
    <tableColumn id="14" xr3:uid="{847CAD08-2C16-4299-952F-99E12B774EEC}" name="SKU-COUNTRY" dataDxfId="26"/>
    <tableColumn id="3" xr3:uid="{9E6307DD-0EA4-41DD-8640-50C9EAA5A0AF}" name="% of Revenue" dataDxfId="25"/>
    <tableColumn id="4" xr3:uid="{65B05E61-E11A-4479-A412-084A2BD59E04}" name="Sephora"/>
    <tableColumn id="5" xr3:uid="{6E66FBC8-A09B-4BF3-85C9-6EDE4D63E984}" name="DTC"/>
    <tableColumn id="6" xr3:uid="{0CFF3581-F7FA-4831-A74B-90EF77809DB0}" name="Travel Retail"/>
    <tableColumn id="7" xr3:uid="{0EE352BA-3B51-4F18-B48C-7D37EC45B401}" name="Wholesale"/>
    <tableColumn id="8" xr3:uid="{183C1FCD-FCED-4922-8B16-6C24E8E07DE3}" name="SKU-COUNTRY2" dataDxfId="24">
      <calculatedColumnFormula>_xlfn.CONCAT(Table4[[#This Row],[SKU]],"-",Table4[[#This Row],[Country]])</calculatedColumnFormula>
    </tableColumn>
    <tableColumn id="9" xr3:uid="{744DC0BE-41FF-4541-B14E-B51B022FB69C}" name="Price in USD" dataDxfId="23">
      <calculatedColumnFormula>VLOOKUP(Table4[[#This Row],[SKU-COUNTRY2]],Table7[[SKU-COUNTRY]:[Final Price in USD]],3,FALSE)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46B065-66C5-4D2C-8344-B22694D76D3F}" name="Table7" displayName="Table7" ref="A41:E59" totalsRowShown="0">
  <autoFilter ref="A41:E59" xr:uid="{CE46B065-66C5-4D2C-8344-B22694D76D3F}"/>
  <tableColumns count="5">
    <tableColumn id="1" xr3:uid="{77E00469-2CB5-4FB4-889B-6565CBE712C1}" name="SKU" dataDxfId="22"/>
    <tableColumn id="2" xr3:uid="{4F867EF6-428D-434E-A14C-6858BD6D8D05}" name="Country" dataDxfId="21"/>
    <tableColumn id="5" xr3:uid="{72D33125-E2C5-44C5-A33B-2CC76C3382EA}" name="SKU-COUNTRY" dataDxfId="20">
      <calculatedColumnFormula>_xlfn.CONCAT(Table7[[#This Row],[SKU]],"-",Table7[[#This Row],[Country]])</calculatedColumnFormula>
    </tableColumn>
    <tableColumn id="3" xr3:uid="{2D920635-0082-4D78-8329-E63149486EAD}" name="usd/gbp/ aed" dataDxfId="19"/>
    <tableColumn id="4" xr3:uid="{783E44F2-FB67-4DA2-9EAB-0411D74D4A4E}" name="Final Price in USD" dataDxfId="18">
      <calculatedColumnFormula>D42*IF(B42="USA",1,IF(B42="UK",1.27,0.27))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4E44BD-8A19-459D-8CF4-1073BA5A5947}" name="Table8" displayName="Table8" ref="A63:C75" totalsRowShown="0" headerRowDxfId="17">
  <autoFilter ref="A63:C75" xr:uid="{4E4E44BD-8A19-459D-8CF4-1073BA5A5947}"/>
  <tableColumns count="3">
    <tableColumn id="1" xr3:uid="{13902817-B7B4-4DC5-A7D7-13AD0E2C0202}" name="Month Year" dataDxfId="16"/>
    <tableColumn id="2" xr3:uid="{FB671ACA-F2C9-4399-B04C-FF88557E5DC8}" name="Multiplier" dataDxfId="15"/>
    <tableColumn id="3" xr3:uid="{92CBF6DD-D5E2-4ECA-A519-39B148AAB5EB}" name="Reasoning" dataDxfId="1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FE9D9-6DEE-4C5D-BC91-B28881E9E84C}" name="Table1" displayName="Table1" ref="A1:C4" totalsRowShown="0" headerRowDxfId="13">
  <autoFilter ref="A1:C4" xr:uid="{359FE9D9-6DEE-4C5D-BC91-B28881E9E84C}"/>
  <tableColumns count="3">
    <tableColumn id="1" xr3:uid="{1FFAEB84-434F-4CA1-BA7C-684EC651203E}" name="Market" dataDxfId="12"/>
    <tableColumn id="2" xr3:uid="{BF32AAF9-E7B5-4FD2-8526-70D64FF39934}" name="Monthly Baseline" dataDxfId="11"/>
    <tableColumn id="3" xr3:uid="{10F8854F-3752-44F2-A6C4-8CBDFFFA61F6}" name="Reasoning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FA8598-522F-47D7-949F-5262768C54BE}" name="Table2" displayName="Table2" ref="A8:D13" totalsRowShown="0" headerRowDxfId="10" dataDxfId="9">
  <autoFilter ref="A8:D13" xr:uid="{1DFA8598-522F-47D7-949F-5262768C54BE}"/>
  <tableColumns count="4">
    <tableColumn id="1" xr3:uid="{921FC42C-E623-4509-B709-E576CA478B35}" name="Channel" dataDxfId="8"/>
    <tableColumn id="2" xr3:uid="{62363A44-F823-4F11-88B0-45F4D66BAB33}" name="US % of Revenue" dataDxfId="7"/>
    <tableColumn id="3" xr3:uid="{BF26B2E4-21CE-434D-AA34-3AC9C5962A50}" name="UK % of Revenue" dataDxfId="6"/>
    <tableColumn id="4" xr3:uid="{CE38BD02-CD34-43C4-945A-60F9C06D5ADE}" name="UAE % of Revenue" dataDxfId="5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683E79-7168-426E-A186-AE50A9D66151}" name="Table3" displayName="Table3" ref="A16:D23" totalsRowShown="0" dataDxfId="4">
  <autoFilter ref="A16:D23" xr:uid="{F4683E79-7168-426E-A186-AE50A9D66151}"/>
  <tableColumns count="4">
    <tableColumn id="1" xr3:uid="{E4613313-BFF9-4EB2-9E89-908410D1F650}" name="SKU" dataDxfId="3"/>
    <tableColumn id="2" xr3:uid="{DE17315A-9BE8-45EF-ADFF-4945B600E625}" name="US % of Revenue" dataDxfId="2"/>
    <tableColumn id="3" xr3:uid="{2816C634-02B0-45FD-9627-FB858E9BD59A}" name="UK % of Revenue" dataDxfId="1"/>
    <tableColumn id="4" xr3:uid="{63D0B66A-816C-4BF9-96DD-8E2A98201816}" name="UAE % of Revenu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5"/>
  <sheetViews>
    <sheetView workbookViewId="0">
      <selection activeCell="K2" sqref="K2"/>
    </sheetView>
  </sheetViews>
  <sheetFormatPr defaultRowHeight="14.4" x14ac:dyDescent="0.3"/>
  <cols>
    <col min="3" max="3" width="10.5546875" bestFit="1" customWidth="1"/>
    <col min="6" max="6" width="22.5546875" bestFit="1" customWidth="1"/>
    <col min="7" max="7" width="37.88671875" bestFit="1" customWidth="1"/>
    <col min="8" max="8" width="11.88671875" bestFit="1" customWidth="1"/>
    <col min="9" max="9" width="17.88671875" bestFit="1" customWidth="1"/>
    <col min="10" max="10" width="14.6640625" customWidth="1"/>
    <col min="11" max="11" width="12.21875" bestFit="1" customWidth="1"/>
    <col min="12" max="12" width="16.77734375" bestFit="1" customWidth="1"/>
    <col min="13" max="13" width="17.109375" customWidth="1"/>
    <col min="14" max="14" width="15.88671875" customWidth="1"/>
    <col min="15" max="15" width="17.21875" bestFit="1" customWidth="1"/>
    <col min="16" max="16" width="15" bestFit="1" customWidth="1"/>
    <col min="17" max="17" width="9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112</v>
      </c>
      <c r="H1" t="s">
        <v>6</v>
      </c>
      <c r="I1" t="s">
        <v>7</v>
      </c>
      <c r="J1" t="s">
        <v>118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>
        <v>1</v>
      </c>
      <c r="B2" t="s">
        <v>15</v>
      </c>
      <c r="C2" s="1">
        <v>45658</v>
      </c>
      <c r="D2" t="s">
        <v>28</v>
      </c>
      <c r="E2" t="s">
        <v>32</v>
      </c>
      <c r="F2" s="2" t="s">
        <v>35</v>
      </c>
      <c r="G2" t="str">
        <f>_xlfn.CONCAT(F2,"-",D2,)</f>
        <v>Vanilla 28-USA</v>
      </c>
      <c r="H2">
        <f>ROUND(J2/I2,0)</f>
        <v>19250</v>
      </c>
      <c r="I2">
        <f>VLOOKUP(G2,Table4[[SKU-COUNTRY2]:[Price in USD]],2,FALSE)</f>
        <v>105</v>
      </c>
      <c r="J2">
        <f>VLOOKUP(G2,Sheet3!$C$82:$I$100,MATCH(E2,Sheet3!C$82:H$82,0),FALSE) * VLOOKUP(C2,Table8[],2,0)</f>
        <v>2021250</v>
      </c>
      <c r="K2">
        <f>ROUND(J2*VLOOKUP(F2,Sheet3!$A$106:$C$111,2,FALSE),0)</f>
        <v>606375</v>
      </c>
      <c r="L2">
        <f t="shared" ref="L2:L65" si="0">J2-K2</f>
        <v>1414875</v>
      </c>
      <c r="M2">
        <f t="shared" ref="M2:M65" si="1">ROUND(L2/J2*100, 1)</f>
        <v>70</v>
      </c>
      <c r="N2" t="str">
        <f>IF(OR(
    MONTH(C2)=2,
    AND(MONTH(C2)=3, D2="UAE"),
    AND(MONTH(C2)=6, D2="UAE"),
    AND(MONTH(C2)=7, OR(D2="USA", D2="UK")),
    MONTH(C2)=9,
    AND(MONTH(C2)=11, OR(D2="USA", D2="UK"))
), "Yes", "No")</f>
        <v>No</v>
      </c>
      <c r="O2">
        <f>IF(MONTH(C2)=2, 15,
IF(AND(MONTH(C2)=3, D2="UAE"), 20,
IF(AND(MONTH(C2)=6, D2="UAE"), 15,
IF(AND(MONTH(C2)=7, OR(D2="USA", D2="UK")), 20,
IF(AND(MONTH(C2)=11, OR(D2="USA", D2="UK")), 25,
0)))))</f>
        <v>0</v>
      </c>
      <c r="P2" t="str">
        <f>IF(MONTH(C2)=2, "Valentine's Day",
IF(AND(MONTH(C2)=3, D2="UAE"), "Eid Al Fitr",
IF(AND(MONTH(C2)=6, D2="UAE"), "Eid Al Adha",
IF(AND(MONTH(C2)=7, OR(D2="USA", D2="UK")), "Summer Sale",
IF(MONTH(C2)=9, "Freedom Launch",
IF(AND(MONTH(C2)=11, OR(D2="USA", D2="UK")), "Black Friday",
"None"))))))</f>
        <v>None</v>
      </c>
      <c r="Q2" t="s">
        <v>124</v>
      </c>
    </row>
    <row r="3" spans="1:17" x14ac:dyDescent="0.3">
      <c r="A3">
        <v>2</v>
      </c>
      <c r="B3" t="s">
        <v>15</v>
      </c>
      <c r="C3" s="1">
        <v>45658</v>
      </c>
      <c r="D3" t="s">
        <v>28</v>
      </c>
      <c r="E3" t="s">
        <v>32</v>
      </c>
      <c r="F3" s="2" t="s">
        <v>36</v>
      </c>
      <c r="G3" t="str">
        <f t="shared" ref="G3:G66" si="2">_xlfn.CONCAT(F3,"-",D3,)</f>
        <v>Eden Juicy Apple 01-USA</v>
      </c>
      <c r="H3">
        <f t="shared" ref="H3:H66" si="3">ROUND(J3/I3,0)</f>
        <v>11000</v>
      </c>
      <c r="I3">
        <f>VLOOKUP(G3,Table4[[SKU-COUNTRY2]:[Price in USD]],2,FALSE)</f>
        <v>105</v>
      </c>
      <c r="J3">
        <f>VLOOKUP(G3,Sheet3!$C$82:$I$100,MATCH(E3,Sheet3!C$82:H$82,0),FALSE) * VLOOKUP(C3,Table8[],2,0)</f>
        <v>1155000.0000000002</v>
      </c>
      <c r="K3">
        <f>ROUND(J3*VLOOKUP(F3,Sheet3!$A$106:$C$111,2,FALSE),0)</f>
        <v>358050</v>
      </c>
      <c r="L3">
        <f t="shared" si="0"/>
        <v>796950.00000000023</v>
      </c>
      <c r="M3">
        <f t="shared" si="1"/>
        <v>69</v>
      </c>
      <c r="N3" t="str">
        <f t="shared" ref="N3:N66" si="4">IF(OR(
    MONTH(C3)=2,
    AND(MONTH(C3)=3, D3="UAE"),
    AND(MONTH(C3)=6, D3="UAE"),
    AND(MONTH(C3)=7, OR(D3="USA", D3="UK")),
    MONTH(C3)=9,
    AND(MONTH(C3)=11, OR(D3="USA", D3="UK"))
), "Yes", "No")</f>
        <v>No</v>
      </c>
      <c r="O3">
        <f t="shared" ref="O3:O66" si="5">IF(MONTH(C3)=2, 15,
IF(AND(MONTH(C3)=3, D3="UAE"), 20,
IF(AND(MONTH(C3)=6, D3="UAE"), 15,
IF(AND(MONTH(C3)=7, OR(D3="USA", D3="UK")), 20,
IF(AND(MONTH(C3)=11, OR(D3="USA", D3="UK")), 25,
0)))))</f>
        <v>0</v>
      </c>
      <c r="P3" t="str">
        <f t="shared" ref="P3:P66" si="6">IF(MONTH(C3)=2, "Valentine's Day",
IF(AND(MONTH(C3)=3, D3="UAE"), "Eid Al Fitr",
IF(AND(MONTH(C3)=6, D3="UAE"), "Eid Al Adha",
IF(AND(MONTH(C3)=7, OR(D3="USA", D3="UK")), "Summer Sale",
IF(MONTH(C3)=9, "Freedom Launch",
IF(AND(MONTH(C3)=11, OR(D3="USA", D3="UK")), "Black Friday",
"None"))))))</f>
        <v>None</v>
      </c>
      <c r="Q3" t="s">
        <v>124</v>
      </c>
    </row>
    <row r="4" spans="1:17" x14ac:dyDescent="0.3">
      <c r="A4">
        <v>3</v>
      </c>
      <c r="B4" t="s">
        <v>15</v>
      </c>
      <c r="C4" s="1">
        <v>45658</v>
      </c>
      <c r="D4" t="s">
        <v>28</v>
      </c>
      <c r="E4" t="s">
        <v>32</v>
      </c>
      <c r="F4" s="2" t="s">
        <v>37</v>
      </c>
      <c r="G4" t="str">
        <f t="shared" si="2"/>
        <v>Oudgasm Tobacco Oud 04-USA</v>
      </c>
      <c r="H4">
        <f t="shared" si="3"/>
        <v>7425</v>
      </c>
      <c r="I4">
        <f>VLOOKUP(G4,Table4[[SKU-COUNTRY2]:[Price in USD]],2,FALSE)</f>
        <v>140</v>
      </c>
      <c r="J4">
        <f>VLOOKUP(G4,Sheet3!$C$82:$I$100,MATCH(E4,Sheet3!C$82:H$82,0),FALSE) * VLOOKUP(C4,Table8[],2,0)</f>
        <v>1039500</v>
      </c>
      <c r="K4">
        <f>ROUND(J4*VLOOKUP(F4,Sheet3!$A$106:$C$111,2,FALSE),0)</f>
        <v>363825</v>
      </c>
      <c r="L4">
        <f t="shared" si="0"/>
        <v>675675</v>
      </c>
      <c r="M4">
        <f t="shared" si="1"/>
        <v>65</v>
      </c>
      <c r="N4" t="str">
        <f t="shared" si="4"/>
        <v>No</v>
      </c>
      <c r="O4">
        <f t="shared" si="5"/>
        <v>0</v>
      </c>
      <c r="P4" t="str">
        <f t="shared" si="6"/>
        <v>None</v>
      </c>
      <c r="Q4" t="s">
        <v>124</v>
      </c>
    </row>
    <row r="5" spans="1:17" x14ac:dyDescent="0.3">
      <c r="A5">
        <v>4</v>
      </c>
      <c r="B5" t="s">
        <v>15</v>
      </c>
      <c r="C5" s="1">
        <v>45658</v>
      </c>
      <c r="D5" t="s">
        <v>28</v>
      </c>
      <c r="E5" t="s">
        <v>32</v>
      </c>
      <c r="F5" s="2" t="s">
        <v>38</v>
      </c>
      <c r="G5" t="str">
        <f t="shared" si="2"/>
        <v>Yum Pistachio Gelato 33-USA</v>
      </c>
      <c r="H5">
        <f t="shared" si="3"/>
        <v>6600</v>
      </c>
      <c r="I5">
        <f>VLOOKUP(G5,Table4[[SKU-COUNTRY2]:[Price in USD]],2,FALSE)</f>
        <v>105</v>
      </c>
      <c r="J5">
        <f>VLOOKUP(G5,Sheet3!$C$82:$I$100,MATCH(E5,Sheet3!C$82:H$82,0),FALSE) * VLOOKUP(C5,Table8[],2,0)</f>
        <v>693000.00000000012</v>
      </c>
      <c r="K5">
        <f>ROUND(J5*VLOOKUP(F5,Sheet3!$A$106:$C$111,2,FALSE),0)</f>
        <v>214830</v>
      </c>
      <c r="L5">
        <f t="shared" si="0"/>
        <v>478170.00000000012</v>
      </c>
      <c r="M5">
        <f t="shared" si="1"/>
        <v>69</v>
      </c>
      <c r="N5" t="str">
        <f t="shared" si="4"/>
        <v>No</v>
      </c>
      <c r="O5">
        <f t="shared" si="5"/>
        <v>0</v>
      </c>
      <c r="P5" t="str">
        <f t="shared" si="6"/>
        <v>None</v>
      </c>
      <c r="Q5" t="s">
        <v>124</v>
      </c>
    </row>
    <row r="6" spans="1:17" x14ac:dyDescent="0.3">
      <c r="A6">
        <v>5</v>
      </c>
      <c r="B6" t="s">
        <v>15</v>
      </c>
      <c r="C6" s="1">
        <v>45658</v>
      </c>
      <c r="D6" t="s">
        <v>28</v>
      </c>
      <c r="E6" t="s">
        <v>32</v>
      </c>
      <c r="F6" s="2" t="s">
        <v>39</v>
      </c>
      <c r="G6" t="str">
        <f t="shared" si="2"/>
        <v>Freedom Musk Santal 34-USA</v>
      </c>
      <c r="H6">
        <f t="shared" si="3"/>
        <v>5500</v>
      </c>
      <c r="I6">
        <f>VLOOKUP(G6,Table4[[SKU-COUNTRY2]:[Price in USD]],2,FALSE)</f>
        <v>105</v>
      </c>
      <c r="J6">
        <f>VLOOKUP(G6,Sheet3!$C$82:$I$100,MATCH(E6,Sheet3!C$82:H$82,0),FALSE) * VLOOKUP(C6,Table8[],2,0)</f>
        <v>577500.00000000012</v>
      </c>
      <c r="K6">
        <f>ROUND(J6*VLOOKUP(F6,Sheet3!$A$106:$C$111,2,FALSE),0)</f>
        <v>184800</v>
      </c>
      <c r="L6">
        <f t="shared" si="0"/>
        <v>392700.00000000012</v>
      </c>
      <c r="M6">
        <f t="shared" si="1"/>
        <v>68</v>
      </c>
      <c r="N6" t="str">
        <f t="shared" si="4"/>
        <v>No</v>
      </c>
      <c r="O6">
        <f t="shared" si="5"/>
        <v>0</v>
      </c>
      <c r="P6" t="str">
        <f t="shared" si="6"/>
        <v>None</v>
      </c>
      <c r="Q6" t="s">
        <v>124</v>
      </c>
    </row>
    <row r="7" spans="1:17" x14ac:dyDescent="0.3">
      <c r="A7">
        <v>6</v>
      </c>
      <c r="B7" t="s">
        <v>15</v>
      </c>
      <c r="C7" s="1">
        <v>45658</v>
      </c>
      <c r="D7" t="s">
        <v>28</v>
      </c>
      <c r="E7" t="s">
        <v>32</v>
      </c>
      <c r="F7" s="2" t="s">
        <v>40</v>
      </c>
      <c r="G7" t="str">
        <f t="shared" si="2"/>
        <v>Musk 12-USA</v>
      </c>
      <c r="H7">
        <f t="shared" si="3"/>
        <v>2750</v>
      </c>
      <c r="I7">
        <f>VLOOKUP(G7,Table4[[SKU-COUNTRY2]:[Price in USD]],2,FALSE)</f>
        <v>105</v>
      </c>
      <c r="J7">
        <f>VLOOKUP(G7,Sheet3!$C$82:$I$100,MATCH(E7,Sheet3!C$82:H$82,0),FALSE) * VLOOKUP(C7,Table8[],2,0)</f>
        <v>288750.00000000006</v>
      </c>
      <c r="K7">
        <f>ROUND(J7*VLOOKUP(F7,Sheet3!$A$106:$C$111,2,FALSE),0)</f>
        <v>86625</v>
      </c>
      <c r="L7">
        <f t="shared" si="0"/>
        <v>202125.00000000006</v>
      </c>
      <c r="M7">
        <f t="shared" si="1"/>
        <v>70</v>
      </c>
      <c r="N7" t="str">
        <f t="shared" si="4"/>
        <v>No</v>
      </c>
      <c r="O7">
        <f t="shared" si="5"/>
        <v>0</v>
      </c>
      <c r="P7" t="str">
        <f t="shared" si="6"/>
        <v>None</v>
      </c>
      <c r="Q7" t="s">
        <v>124</v>
      </c>
    </row>
    <row r="8" spans="1:17" x14ac:dyDescent="0.3">
      <c r="A8">
        <v>7</v>
      </c>
      <c r="B8" t="s">
        <v>15</v>
      </c>
      <c r="C8" s="1">
        <v>45658</v>
      </c>
      <c r="D8" t="s">
        <v>28</v>
      </c>
      <c r="E8" t="s">
        <v>31</v>
      </c>
      <c r="F8" s="2" t="s">
        <v>35</v>
      </c>
      <c r="G8" t="str">
        <f t="shared" si="2"/>
        <v>Vanilla 28-USA</v>
      </c>
      <c r="H8">
        <f t="shared" si="3"/>
        <v>8750</v>
      </c>
      <c r="I8">
        <f>VLOOKUP(G8,Table4[[SKU-COUNTRY2]:[Price in USD]],2,FALSE)</f>
        <v>105</v>
      </c>
      <c r="J8">
        <f>VLOOKUP(G8,Sheet3!$C$82:$I$100,MATCH(E8,Sheet3!C$82:H$82,0),FALSE) * VLOOKUP(C8,Table8[],2,0)</f>
        <v>918750</v>
      </c>
      <c r="K8">
        <f>ROUND(J8*VLOOKUP(F8,Sheet3!$A$106:$C$111,2,FALSE),0)</f>
        <v>275625</v>
      </c>
      <c r="L8">
        <f t="shared" si="0"/>
        <v>643125</v>
      </c>
      <c r="M8">
        <f t="shared" si="1"/>
        <v>70</v>
      </c>
      <c r="N8" t="str">
        <f t="shared" si="4"/>
        <v>No</v>
      </c>
      <c r="O8">
        <f t="shared" si="5"/>
        <v>0</v>
      </c>
      <c r="P8" t="str">
        <f t="shared" si="6"/>
        <v>None</v>
      </c>
      <c r="Q8" t="s">
        <v>124</v>
      </c>
    </row>
    <row r="9" spans="1:17" x14ac:dyDescent="0.3">
      <c r="A9">
        <v>8</v>
      </c>
      <c r="B9" t="s">
        <v>15</v>
      </c>
      <c r="C9" s="1">
        <v>45658</v>
      </c>
      <c r="D9" t="s">
        <v>28</v>
      </c>
      <c r="E9" t="s">
        <v>31</v>
      </c>
      <c r="F9" s="2" t="s">
        <v>36</v>
      </c>
      <c r="G9" t="str">
        <f t="shared" si="2"/>
        <v>Eden Juicy Apple 01-USA</v>
      </c>
      <c r="H9">
        <f t="shared" si="3"/>
        <v>5000</v>
      </c>
      <c r="I9">
        <f>VLOOKUP(G9,Table4[[SKU-COUNTRY2]:[Price in USD]],2,FALSE)</f>
        <v>105</v>
      </c>
      <c r="J9">
        <f>VLOOKUP(G9,Sheet3!$C$82:$I$100,MATCH(E9,Sheet3!C$82:H$82,0),FALSE) * VLOOKUP(C9,Table8[],2,0)</f>
        <v>525000</v>
      </c>
      <c r="K9">
        <f>ROUND(J9*VLOOKUP(F9,Sheet3!$A$106:$C$111,2,FALSE),0)</f>
        <v>162750</v>
      </c>
      <c r="L9">
        <f t="shared" si="0"/>
        <v>362250</v>
      </c>
      <c r="M9">
        <f t="shared" si="1"/>
        <v>69</v>
      </c>
      <c r="N9" t="str">
        <f t="shared" si="4"/>
        <v>No</v>
      </c>
      <c r="O9">
        <f t="shared" si="5"/>
        <v>0</v>
      </c>
      <c r="P9" t="str">
        <f t="shared" si="6"/>
        <v>None</v>
      </c>
      <c r="Q9" t="s">
        <v>124</v>
      </c>
    </row>
    <row r="10" spans="1:17" x14ac:dyDescent="0.3">
      <c r="A10">
        <v>9</v>
      </c>
      <c r="B10" t="s">
        <v>15</v>
      </c>
      <c r="C10" s="1">
        <v>45658</v>
      </c>
      <c r="D10" t="s">
        <v>28</v>
      </c>
      <c r="E10" t="s">
        <v>31</v>
      </c>
      <c r="F10" s="2" t="s">
        <v>37</v>
      </c>
      <c r="G10" t="str">
        <f t="shared" si="2"/>
        <v>Oudgasm Tobacco Oud 04-USA</v>
      </c>
      <c r="H10">
        <f t="shared" si="3"/>
        <v>3375</v>
      </c>
      <c r="I10">
        <f>VLOOKUP(G10,Table4[[SKU-COUNTRY2]:[Price in USD]],2,FALSE)</f>
        <v>140</v>
      </c>
      <c r="J10">
        <f>VLOOKUP(G10,Sheet3!$C$82:$I$100,MATCH(E10,Sheet3!C$82:H$82,0),FALSE) * VLOOKUP(C10,Table8[],2,0)</f>
        <v>472500</v>
      </c>
      <c r="K10">
        <f>ROUND(J10*VLOOKUP(F10,Sheet3!$A$106:$C$111,2,FALSE),0)</f>
        <v>165375</v>
      </c>
      <c r="L10">
        <f t="shared" si="0"/>
        <v>307125</v>
      </c>
      <c r="M10">
        <f t="shared" si="1"/>
        <v>65</v>
      </c>
      <c r="N10" t="str">
        <f t="shared" si="4"/>
        <v>No</v>
      </c>
      <c r="O10">
        <f t="shared" si="5"/>
        <v>0</v>
      </c>
      <c r="P10" t="str">
        <f t="shared" si="6"/>
        <v>None</v>
      </c>
      <c r="Q10" t="s">
        <v>124</v>
      </c>
    </row>
    <row r="11" spans="1:17" x14ac:dyDescent="0.3">
      <c r="A11">
        <v>10</v>
      </c>
      <c r="B11" t="s">
        <v>15</v>
      </c>
      <c r="C11" s="1">
        <v>45658</v>
      </c>
      <c r="D11" t="s">
        <v>28</v>
      </c>
      <c r="E11" t="s">
        <v>31</v>
      </c>
      <c r="F11" s="2" t="s">
        <v>38</v>
      </c>
      <c r="G11" t="str">
        <f t="shared" si="2"/>
        <v>Yum Pistachio Gelato 33-USA</v>
      </c>
      <c r="H11">
        <f t="shared" si="3"/>
        <v>3000</v>
      </c>
      <c r="I11">
        <f>VLOOKUP(G11,Table4[[SKU-COUNTRY2]:[Price in USD]],2,FALSE)</f>
        <v>105</v>
      </c>
      <c r="J11">
        <f>VLOOKUP(G11,Sheet3!$C$82:$I$100,MATCH(E11,Sheet3!C$82:H$82,0),FALSE) * VLOOKUP(C11,Table8[],2,0)</f>
        <v>315000</v>
      </c>
      <c r="K11">
        <f>ROUND(J11*VLOOKUP(F11,Sheet3!$A$106:$C$111,2,FALSE),0)</f>
        <v>97650</v>
      </c>
      <c r="L11">
        <f t="shared" si="0"/>
        <v>217350</v>
      </c>
      <c r="M11">
        <f t="shared" si="1"/>
        <v>69</v>
      </c>
      <c r="N11" t="str">
        <f t="shared" si="4"/>
        <v>No</v>
      </c>
      <c r="O11">
        <f t="shared" si="5"/>
        <v>0</v>
      </c>
      <c r="P11" t="str">
        <f t="shared" si="6"/>
        <v>None</v>
      </c>
      <c r="Q11" t="s">
        <v>124</v>
      </c>
    </row>
    <row r="12" spans="1:17" x14ac:dyDescent="0.3">
      <c r="A12">
        <v>11</v>
      </c>
      <c r="B12" t="s">
        <v>15</v>
      </c>
      <c r="C12" s="1">
        <v>45658</v>
      </c>
      <c r="D12" t="s">
        <v>28</v>
      </c>
      <c r="E12" t="s">
        <v>31</v>
      </c>
      <c r="F12" s="2" t="s">
        <v>39</v>
      </c>
      <c r="G12" t="str">
        <f t="shared" si="2"/>
        <v>Freedom Musk Santal 34-USA</v>
      </c>
      <c r="H12">
        <f t="shared" si="3"/>
        <v>2500</v>
      </c>
      <c r="I12">
        <f>VLOOKUP(G12,Table4[[SKU-COUNTRY2]:[Price in USD]],2,FALSE)</f>
        <v>105</v>
      </c>
      <c r="J12">
        <f>VLOOKUP(G12,Sheet3!$C$82:$I$100,MATCH(E12,Sheet3!C$82:H$82,0),FALSE) * VLOOKUP(C12,Table8[],2,0)</f>
        <v>262500</v>
      </c>
      <c r="K12">
        <f>ROUND(J12*VLOOKUP(F12,Sheet3!$A$106:$C$111,2,FALSE),0)</f>
        <v>84000</v>
      </c>
      <c r="L12">
        <f t="shared" si="0"/>
        <v>178500</v>
      </c>
      <c r="M12">
        <f t="shared" si="1"/>
        <v>68</v>
      </c>
      <c r="N12" t="str">
        <f t="shared" si="4"/>
        <v>No</v>
      </c>
      <c r="O12">
        <f t="shared" si="5"/>
        <v>0</v>
      </c>
      <c r="P12" t="str">
        <f t="shared" si="6"/>
        <v>None</v>
      </c>
      <c r="Q12" t="s">
        <v>124</v>
      </c>
    </row>
    <row r="13" spans="1:17" x14ac:dyDescent="0.3">
      <c r="A13">
        <v>12</v>
      </c>
      <c r="B13" t="s">
        <v>15</v>
      </c>
      <c r="C13" s="1">
        <v>45658</v>
      </c>
      <c r="D13" t="s">
        <v>28</v>
      </c>
      <c r="E13" t="s">
        <v>31</v>
      </c>
      <c r="F13" s="2" t="s">
        <v>40</v>
      </c>
      <c r="G13" t="str">
        <f t="shared" si="2"/>
        <v>Musk 12-USA</v>
      </c>
      <c r="H13">
        <f t="shared" si="3"/>
        <v>1250</v>
      </c>
      <c r="I13">
        <f>VLOOKUP(G13,Table4[[SKU-COUNTRY2]:[Price in USD]],2,FALSE)</f>
        <v>105</v>
      </c>
      <c r="J13">
        <f>VLOOKUP(G13,Sheet3!$C$82:$I$100,MATCH(E13,Sheet3!C$82:H$82,0),FALSE) * VLOOKUP(C13,Table8[],2,0)</f>
        <v>131250</v>
      </c>
      <c r="K13">
        <f>ROUND(J13*VLOOKUP(F13,Sheet3!$A$106:$C$111,2,FALSE),0)</f>
        <v>39375</v>
      </c>
      <c r="L13">
        <f t="shared" si="0"/>
        <v>91875</v>
      </c>
      <c r="M13">
        <f t="shared" si="1"/>
        <v>70</v>
      </c>
      <c r="N13" t="str">
        <f t="shared" si="4"/>
        <v>No</v>
      </c>
      <c r="O13">
        <f t="shared" si="5"/>
        <v>0</v>
      </c>
      <c r="P13" t="str">
        <f t="shared" si="6"/>
        <v>None</v>
      </c>
      <c r="Q13" t="s">
        <v>124</v>
      </c>
    </row>
    <row r="14" spans="1:17" x14ac:dyDescent="0.3">
      <c r="A14">
        <v>13</v>
      </c>
      <c r="B14" t="s">
        <v>15</v>
      </c>
      <c r="C14" s="1">
        <v>45658</v>
      </c>
      <c r="D14" t="s">
        <v>28</v>
      </c>
      <c r="E14" t="s">
        <v>33</v>
      </c>
      <c r="F14" s="2" t="s">
        <v>35</v>
      </c>
      <c r="G14" t="str">
        <f t="shared" si="2"/>
        <v>Vanilla 28-USA</v>
      </c>
      <c r="H14">
        <f t="shared" si="3"/>
        <v>4200</v>
      </c>
      <c r="I14">
        <f>VLOOKUP(G14,Table4[[SKU-COUNTRY2]:[Price in USD]],2,FALSE)</f>
        <v>105</v>
      </c>
      <c r="J14">
        <f>VLOOKUP(G14,Sheet3!$C$82:$I$100,MATCH(E14,Sheet3!C$82:H$82,0),FALSE) * VLOOKUP(C14,Table8[],2,0)</f>
        <v>441000</v>
      </c>
      <c r="K14">
        <f>ROUND(J14*VLOOKUP(F14,Sheet3!$A$106:$C$111,2,FALSE),0)</f>
        <v>132300</v>
      </c>
      <c r="L14">
        <f t="shared" si="0"/>
        <v>308700</v>
      </c>
      <c r="M14">
        <f t="shared" si="1"/>
        <v>70</v>
      </c>
      <c r="N14" t="str">
        <f t="shared" si="4"/>
        <v>No</v>
      </c>
      <c r="O14">
        <f t="shared" si="5"/>
        <v>0</v>
      </c>
      <c r="P14" t="str">
        <f t="shared" si="6"/>
        <v>None</v>
      </c>
      <c r="Q14" t="s">
        <v>124</v>
      </c>
    </row>
    <row r="15" spans="1:17" x14ac:dyDescent="0.3">
      <c r="A15">
        <v>14</v>
      </c>
      <c r="B15" t="s">
        <v>15</v>
      </c>
      <c r="C15" s="1">
        <v>45658</v>
      </c>
      <c r="D15" t="s">
        <v>28</v>
      </c>
      <c r="E15" t="s">
        <v>33</v>
      </c>
      <c r="F15" s="2" t="s">
        <v>36</v>
      </c>
      <c r="G15" t="str">
        <f t="shared" si="2"/>
        <v>Eden Juicy Apple 01-USA</v>
      </c>
      <c r="H15">
        <f t="shared" si="3"/>
        <v>2400</v>
      </c>
      <c r="I15">
        <f>VLOOKUP(G15,Table4[[SKU-COUNTRY2]:[Price in USD]],2,FALSE)</f>
        <v>105</v>
      </c>
      <c r="J15">
        <f>VLOOKUP(G15,Sheet3!$C$82:$I$100,MATCH(E15,Sheet3!C$82:H$82,0),FALSE) * VLOOKUP(C15,Table8[],2,0)</f>
        <v>252000</v>
      </c>
      <c r="K15">
        <f>ROUND(J15*VLOOKUP(F15,Sheet3!$A$106:$C$111,2,FALSE),0)</f>
        <v>78120</v>
      </c>
      <c r="L15">
        <f t="shared" si="0"/>
        <v>173880</v>
      </c>
      <c r="M15">
        <f t="shared" si="1"/>
        <v>69</v>
      </c>
      <c r="N15" t="str">
        <f t="shared" si="4"/>
        <v>No</v>
      </c>
      <c r="O15">
        <f t="shared" si="5"/>
        <v>0</v>
      </c>
      <c r="P15" t="str">
        <f t="shared" si="6"/>
        <v>None</v>
      </c>
      <c r="Q15" t="s">
        <v>124</v>
      </c>
    </row>
    <row r="16" spans="1:17" x14ac:dyDescent="0.3">
      <c r="A16">
        <v>15</v>
      </c>
      <c r="B16" t="s">
        <v>15</v>
      </c>
      <c r="C16" s="1">
        <v>45658</v>
      </c>
      <c r="D16" t="s">
        <v>28</v>
      </c>
      <c r="E16" t="s">
        <v>33</v>
      </c>
      <c r="F16" s="2" t="s">
        <v>37</v>
      </c>
      <c r="G16" t="str">
        <f t="shared" si="2"/>
        <v>Oudgasm Tobacco Oud 04-USA</v>
      </c>
      <c r="H16">
        <f t="shared" si="3"/>
        <v>1620</v>
      </c>
      <c r="I16">
        <f>VLOOKUP(G16,Table4[[SKU-COUNTRY2]:[Price in USD]],2,FALSE)</f>
        <v>140</v>
      </c>
      <c r="J16">
        <f>VLOOKUP(G16,Sheet3!$C$82:$I$100,MATCH(E16,Sheet3!C$82:H$82,0),FALSE) * VLOOKUP(C16,Table8[],2,0)</f>
        <v>226800</v>
      </c>
      <c r="K16">
        <f>ROUND(J16*VLOOKUP(F16,Sheet3!$A$106:$C$111,2,FALSE),0)</f>
        <v>79380</v>
      </c>
      <c r="L16">
        <f t="shared" si="0"/>
        <v>147420</v>
      </c>
      <c r="M16">
        <f t="shared" si="1"/>
        <v>65</v>
      </c>
      <c r="N16" t="str">
        <f t="shared" si="4"/>
        <v>No</v>
      </c>
      <c r="O16">
        <f t="shared" si="5"/>
        <v>0</v>
      </c>
      <c r="P16" t="str">
        <f t="shared" si="6"/>
        <v>None</v>
      </c>
      <c r="Q16" t="s">
        <v>124</v>
      </c>
    </row>
    <row r="17" spans="1:17" x14ac:dyDescent="0.3">
      <c r="A17">
        <v>16</v>
      </c>
      <c r="B17" t="s">
        <v>15</v>
      </c>
      <c r="C17" s="1">
        <v>45658</v>
      </c>
      <c r="D17" t="s">
        <v>28</v>
      </c>
      <c r="E17" t="s">
        <v>33</v>
      </c>
      <c r="F17" s="2" t="s">
        <v>38</v>
      </c>
      <c r="G17" t="str">
        <f t="shared" si="2"/>
        <v>Yum Pistachio Gelato 33-USA</v>
      </c>
      <c r="H17">
        <f t="shared" si="3"/>
        <v>1440</v>
      </c>
      <c r="I17">
        <f>VLOOKUP(G17,Table4[[SKU-COUNTRY2]:[Price in USD]],2,FALSE)</f>
        <v>105</v>
      </c>
      <c r="J17">
        <f>VLOOKUP(G17,Sheet3!$C$82:$I$100,MATCH(E17,Sheet3!C$82:H$82,0),FALSE) * VLOOKUP(C17,Table8[],2,0)</f>
        <v>151200</v>
      </c>
      <c r="K17">
        <f>ROUND(J17*VLOOKUP(F17,Sheet3!$A$106:$C$111,2,FALSE),0)</f>
        <v>46872</v>
      </c>
      <c r="L17">
        <f t="shared" si="0"/>
        <v>104328</v>
      </c>
      <c r="M17">
        <f t="shared" si="1"/>
        <v>69</v>
      </c>
      <c r="N17" t="str">
        <f t="shared" si="4"/>
        <v>No</v>
      </c>
      <c r="O17">
        <f t="shared" si="5"/>
        <v>0</v>
      </c>
      <c r="P17" t="str">
        <f t="shared" si="6"/>
        <v>None</v>
      </c>
      <c r="Q17" t="s">
        <v>124</v>
      </c>
    </row>
    <row r="18" spans="1:17" x14ac:dyDescent="0.3">
      <c r="A18">
        <v>17</v>
      </c>
      <c r="B18" t="s">
        <v>15</v>
      </c>
      <c r="C18" s="1">
        <v>45658</v>
      </c>
      <c r="D18" t="s">
        <v>28</v>
      </c>
      <c r="E18" t="s">
        <v>33</v>
      </c>
      <c r="F18" s="2" t="s">
        <v>39</v>
      </c>
      <c r="G18" t="str">
        <f t="shared" si="2"/>
        <v>Freedom Musk Santal 34-USA</v>
      </c>
      <c r="H18">
        <f t="shared" si="3"/>
        <v>1200</v>
      </c>
      <c r="I18">
        <f>VLOOKUP(G18,Table4[[SKU-COUNTRY2]:[Price in USD]],2,FALSE)</f>
        <v>105</v>
      </c>
      <c r="J18">
        <f>VLOOKUP(G18,Sheet3!$C$82:$I$100,MATCH(E18,Sheet3!C$82:H$82,0),FALSE) * VLOOKUP(C18,Table8[],2,0)</f>
        <v>126000</v>
      </c>
      <c r="K18">
        <f>ROUND(J18*VLOOKUP(F18,Sheet3!$A$106:$C$111,2,FALSE),0)</f>
        <v>40320</v>
      </c>
      <c r="L18">
        <f t="shared" si="0"/>
        <v>85680</v>
      </c>
      <c r="M18">
        <f t="shared" si="1"/>
        <v>68</v>
      </c>
      <c r="N18" t="str">
        <f t="shared" si="4"/>
        <v>No</v>
      </c>
      <c r="O18">
        <f t="shared" si="5"/>
        <v>0</v>
      </c>
      <c r="P18" t="str">
        <f t="shared" si="6"/>
        <v>None</v>
      </c>
      <c r="Q18" t="s">
        <v>124</v>
      </c>
    </row>
    <row r="19" spans="1:17" x14ac:dyDescent="0.3">
      <c r="A19">
        <v>18</v>
      </c>
      <c r="B19" t="s">
        <v>15</v>
      </c>
      <c r="C19" s="1">
        <v>45658</v>
      </c>
      <c r="D19" t="s">
        <v>28</v>
      </c>
      <c r="E19" t="s">
        <v>33</v>
      </c>
      <c r="F19" s="2" t="s">
        <v>40</v>
      </c>
      <c r="G19" t="str">
        <f t="shared" si="2"/>
        <v>Musk 12-USA</v>
      </c>
      <c r="H19">
        <f t="shared" si="3"/>
        <v>600</v>
      </c>
      <c r="I19">
        <f>VLOOKUP(G19,Table4[[SKU-COUNTRY2]:[Price in USD]],2,FALSE)</f>
        <v>105</v>
      </c>
      <c r="J19">
        <f>VLOOKUP(G19,Sheet3!$C$82:$I$100,MATCH(E19,Sheet3!C$82:H$82,0),FALSE) * VLOOKUP(C19,Table8[],2,0)</f>
        <v>63000</v>
      </c>
      <c r="K19">
        <f>ROUND(J19*VLOOKUP(F19,Sheet3!$A$106:$C$111,2,FALSE),0)</f>
        <v>18900</v>
      </c>
      <c r="L19">
        <f t="shared" si="0"/>
        <v>44100</v>
      </c>
      <c r="M19">
        <f t="shared" si="1"/>
        <v>70</v>
      </c>
      <c r="N19" t="str">
        <f t="shared" si="4"/>
        <v>No</v>
      </c>
      <c r="O19">
        <f t="shared" si="5"/>
        <v>0</v>
      </c>
      <c r="P19" t="str">
        <f t="shared" si="6"/>
        <v>None</v>
      </c>
      <c r="Q19" t="s">
        <v>124</v>
      </c>
    </row>
    <row r="20" spans="1:17" x14ac:dyDescent="0.3">
      <c r="A20">
        <v>19</v>
      </c>
      <c r="B20" t="s">
        <v>15</v>
      </c>
      <c r="C20" s="1">
        <v>45658</v>
      </c>
      <c r="D20" t="s">
        <v>28</v>
      </c>
      <c r="E20" t="s">
        <v>34</v>
      </c>
      <c r="F20" s="2" t="s">
        <v>35</v>
      </c>
      <c r="G20" t="str">
        <f t="shared" si="2"/>
        <v>Vanilla 28-USA</v>
      </c>
      <c r="H20">
        <f t="shared" si="3"/>
        <v>2800</v>
      </c>
      <c r="I20">
        <f>VLOOKUP(G20,Table4[[SKU-COUNTRY2]:[Price in USD]],2,FALSE)</f>
        <v>105</v>
      </c>
      <c r="J20">
        <f>VLOOKUP(G20,Sheet3!$C$82:$I$100,MATCH(E20,Sheet3!C$82:H$82,0),FALSE) * VLOOKUP(C20,Table8[],2,0)</f>
        <v>294000</v>
      </c>
      <c r="K20">
        <f>ROUND(J20*VLOOKUP(F20,Sheet3!$A$106:$C$111,2,FALSE),0)</f>
        <v>88200</v>
      </c>
      <c r="L20">
        <f t="shared" si="0"/>
        <v>205800</v>
      </c>
      <c r="M20">
        <f t="shared" si="1"/>
        <v>70</v>
      </c>
      <c r="N20" t="str">
        <f t="shared" si="4"/>
        <v>No</v>
      </c>
      <c r="O20">
        <f t="shared" si="5"/>
        <v>0</v>
      </c>
      <c r="P20" t="str">
        <f t="shared" si="6"/>
        <v>None</v>
      </c>
      <c r="Q20" t="s">
        <v>124</v>
      </c>
    </row>
    <row r="21" spans="1:17" x14ac:dyDescent="0.3">
      <c r="A21">
        <v>20</v>
      </c>
      <c r="B21" t="s">
        <v>15</v>
      </c>
      <c r="C21" s="1">
        <v>45658</v>
      </c>
      <c r="D21" t="s">
        <v>28</v>
      </c>
      <c r="E21" t="s">
        <v>34</v>
      </c>
      <c r="F21" s="2" t="s">
        <v>36</v>
      </c>
      <c r="G21" t="str">
        <f t="shared" si="2"/>
        <v>Eden Juicy Apple 01-USA</v>
      </c>
      <c r="H21">
        <f t="shared" si="3"/>
        <v>1600</v>
      </c>
      <c r="I21">
        <f>VLOOKUP(G21,Table4[[SKU-COUNTRY2]:[Price in USD]],2,FALSE)</f>
        <v>105</v>
      </c>
      <c r="J21">
        <f>VLOOKUP(G21,Sheet3!$C$82:$I$100,MATCH(E21,Sheet3!C$82:H$82,0),FALSE) * VLOOKUP(C21,Table8[],2,0)</f>
        <v>168000</v>
      </c>
      <c r="K21">
        <f>ROUND(J21*VLOOKUP(F21,Sheet3!$A$106:$C$111,2,FALSE),0)</f>
        <v>52080</v>
      </c>
      <c r="L21">
        <f t="shared" si="0"/>
        <v>115920</v>
      </c>
      <c r="M21">
        <f t="shared" si="1"/>
        <v>69</v>
      </c>
      <c r="N21" t="str">
        <f t="shared" si="4"/>
        <v>No</v>
      </c>
      <c r="O21">
        <f t="shared" si="5"/>
        <v>0</v>
      </c>
      <c r="P21" t="str">
        <f t="shared" si="6"/>
        <v>None</v>
      </c>
      <c r="Q21" t="s">
        <v>124</v>
      </c>
    </row>
    <row r="22" spans="1:17" x14ac:dyDescent="0.3">
      <c r="A22">
        <v>21</v>
      </c>
      <c r="B22" t="s">
        <v>15</v>
      </c>
      <c r="C22" s="1">
        <v>45658</v>
      </c>
      <c r="D22" t="s">
        <v>28</v>
      </c>
      <c r="E22" t="s">
        <v>34</v>
      </c>
      <c r="F22" s="2" t="s">
        <v>37</v>
      </c>
      <c r="G22" t="str">
        <f t="shared" si="2"/>
        <v>Oudgasm Tobacco Oud 04-USA</v>
      </c>
      <c r="H22">
        <f t="shared" si="3"/>
        <v>1080</v>
      </c>
      <c r="I22">
        <f>VLOOKUP(G22,Table4[[SKU-COUNTRY2]:[Price in USD]],2,FALSE)</f>
        <v>140</v>
      </c>
      <c r="J22">
        <f>VLOOKUP(G22,Sheet3!$C$82:$I$100,MATCH(E22,Sheet3!C$82:H$82,0),FALSE) * VLOOKUP(C22,Table8[],2,0)</f>
        <v>151200</v>
      </c>
      <c r="K22">
        <f>ROUND(J22*VLOOKUP(F22,Sheet3!$A$106:$C$111,2,FALSE),0)</f>
        <v>52920</v>
      </c>
      <c r="L22">
        <f t="shared" si="0"/>
        <v>98280</v>
      </c>
      <c r="M22">
        <f t="shared" si="1"/>
        <v>65</v>
      </c>
      <c r="N22" t="str">
        <f t="shared" si="4"/>
        <v>No</v>
      </c>
      <c r="O22">
        <f t="shared" si="5"/>
        <v>0</v>
      </c>
      <c r="P22" t="str">
        <f t="shared" si="6"/>
        <v>None</v>
      </c>
      <c r="Q22" t="s">
        <v>124</v>
      </c>
    </row>
    <row r="23" spans="1:17" x14ac:dyDescent="0.3">
      <c r="A23">
        <v>22</v>
      </c>
      <c r="B23" t="s">
        <v>15</v>
      </c>
      <c r="C23" s="1">
        <v>45658</v>
      </c>
      <c r="D23" t="s">
        <v>28</v>
      </c>
      <c r="E23" t="s">
        <v>34</v>
      </c>
      <c r="F23" s="2" t="s">
        <v>38</v>
      </c>
      <c r="G23" t="str">
        <f t="shared" si="2"/>
        <v>Yum Pistachio Gelato 33-USA</v>
      </c>
      <c r="H23">
        <f t="shared" si="3"/>
        <v>960</v>
      </c>
      <c r="I23">
        <f>VLOOKUP(G23,Table4[[SKU-COUNTRY2]:[Price in USD]],2,FALSE)</f>
        <v>105</v>
      </c>
      <c r="J23">
        <f>VLOOKUP(G23,Sheet3!$C$82:$I$100,MATCH(E23,Sheet3!C$82:H$82,0),FALSE) * VLOOKUP(C23,Table8[],2,0)</f>
        <v>100800</v>
      </c>
      <c r="K23">
        <f>ROUND(J23*VLOOKUP(F23,Sheet3!$A$106:$C$111,2,FALSE),0)</f>
        <v>31248</v>
      </c>
      <c r="L23">
        <f t="shared" si="0"/>
        <v>69552</v>
      </c>
      <c r="M23">
        <f t="shared" si="1"/>
        <v>69</v>
      </c>
      <c r="N23" t="str">
        <f t="shared" si="4"/>
        <v>No</v>
      </c>
      <c r="O23">
        <f t="shared" si="5"/>
        <v>0</v>
      </c>
      <c r="P23" t="str">
        <f t="shared" si="6"/>
        <v>None</v>
      </c>
      <c r="Q23" t="s">
        <v>124</v>
      </c>
    </row>
    <row r="24" spans="1:17" x14ac:dyDescent="0.3">
      <c r="A24">
        <v>23</v>
      </c>
      <c r="B24" t="s">
        <v>15</v>
      </c>
      <c r="C24" s="1">
        <v>45658</v>
      </c>
      <c r="D24" t="s">
        <v>28</v>
      </c>
      <c r="E24" t="s">
        <v>34</v>
      </c>
      <c r="F24" s="2" t="s">
        <v>39</v>
      </c>
      <c r="G24" t="str">
        <f t="shared" si="2"/>
        <v>Freedom Musk Santal 34-USA</v>
      </c>
      <c r="H24">
        <f t="shared" si="3"/>
        <v>800</v>
      </c>
      <c r="I24">
        <f>VLOOKUP(G24,Table4[[SKU-COUNTRY2]:[Price in USD]],2,FALSE)</f>
        <v>105</v>
      </c>
      <c r="J24">
        <f>VLOOKUP(G24,Sheet3!$C$82:$I$100,MATCH(E24,Sheet3!C$82:H$82,0),FALSE) * VLOOKUP(C24,Table8[],2,0)</f>
        <v>84000</v>
      </c>
      <c r="K24">
        <f>ROUND(J24*VLOOKUP(F24,Sheet3!$A$106:$C$111,2,FALSE),0)</f>
        <v>26880</v>
      </c>
      <c r="L24">
        <f t="shared" si="0"/>
        <v>57120</v>
      </c>
      <c r="M24">
        <f t="shared" si="1"/>
        <v>68</v>
      </c>
      <c r="N24" t="str">
        <f t="shared" si="4"/>
        <v>No</v>
      </c>
      <c r="O24">
        <f t="shared" si="5"/>
        <v>0</v>
      </c>
      <c r="P24" t="str">
        <f t="shared" si="6"/>
        <v>None</v>
      </c>
      <c r="Q24" t="s">
        <v>124</v>
      </c>
    </row>
    <row r="25" spans="1:17" x14ac:dyDescent="0.3">
      <c r="A25">
        <v>24</v>
      </c>
      <c r="B25" t="s">
        <v>15</v>
      </c>
      <c r="C25" s="1">
        <v>45658</v>
      </c>
      <c r="D25" t="s">
        <v>28</v>
      </c>
      <c r="E25" t="s">
        <v>34</v>
      </c>
      <c r="F25" s="2" t="s">
        <v>40</v>
      </c>
      <c r="G25" t="str">
        <f t="shared" si="2"/>
        <v>Musk 12-USA</v>
      </c>
      <c r="H25">
        <f t="shared" si="3"/>
        <v>400</v>
      </c>
      <c r="I25">
        <f>VLOOKUP(G25,Table4[[SKU-COUNTRY2]:[Price in USD]],2,FALSE)</f>
        <v>105</v>
      </c>
      <c r="J25">
        <f>VLOOKUP(G25,Sheet3!$C$82:$I$100,MATCH(E25,Sheet3!C$82:H$82,0),FALSE) * VLOOKUP(C25,Table8[],2,0)</f>
        <v>42000</v>
      </c>
      <c r="K25">
        <f>ROUND(J25*VLOOKUP(F25,Sheet3!$A$106:$C$111,2,FALSE),0)</f>
        <v>12600</v>
      </c>
      <c r="L25">
        <f t="shared" si="0"/>
        <v>29400</v>
      </c>
      <c r="M25">
        <f t="shared" si="1"/>
        <v>70</v>
      </c>
      <c r="N25" t="str">
        <f t="shared" si="4"/>
        <v>No</v>
      </c>
      <c r="O25">
        <f t="shared" si="5"/>
        <v>0</v>
      </c>
      <c r="P25" t="str">
        <f t="shared" si="6"/>
        <v>None</v>
      </c>
      <c r="Q25" t="s">
        <v>124</v>
      </c>
    </row>
    <row r="26" spans="1:17" x14ac:dyDescent="0.3">
      <c r="A26">
        <v>25</v>
      </c>
      <c r="B26" t="s">
        <v>15</v>
      </c>
      <c r="C26" s="1">
        <v>45658</v>
      </c>
      <c r="D26" t="s">
        <v>27</v>
      </c>
      <c r="E26" t="s">
        <v>32</v>
      </c>
      <c r="F26" s="2" t="s">
        <v>35</v>
      </c>
      <c r="G26" t="str">
        <f t="shared" si="2"/>
        <v>Vanilla 28-UK</v>
      </c>
      <c r="H26">
        <f t="shared" si="3"/>
        <v>1772</v>
      </c>
      <c r="I26">
        <f>VLOOKUP(G26,Table4[[SKU-COUNTRY2]:[Price in USD]],2,FALSE)</f>
        <v>101.6</v>
      </c>
      <c r="J26">
        <f>VLOOKUP(G26,Sheet3!$C$82:$I$100,MATCH(E26,Sheet3!C$82:H$82,0),FALSE) * VLOOKUP(C26,Table8[],2,0)</f>
        <v>180000</v>
      </c>
      <c r="K26">
        <f>ROUND(J26*VLOOKUP(F26,Sheet3!$A$106:$C$111,2,FALSE),0)</f>
        <v>54000</v>
      </c>
      <c r="L26">
        <f t="shared" si="0"/>
        <v>126000</v>
      </c>
      <c r="M26">
        <f t="shared" si="1"/>
        <v>70</v>
      </c>
      <c r="N26" t="str">
        <f t="shared" si="4"/>
        <v>No</v>
      </c>
      <c r="O26">
        <f t="shared" si="5"/>
        <v>0</v>
      </c>
      <c r="P26" t="str">
        <f t="shared" si="6"/>
        <v>None</v>
      </c>
      <c r="Q26" t="s">
        <v>124</v>
      </c>
    </row>
    <row r="27" spans="1:17" x14ac:dyDescent="0.3">
      <c r="A27">
        <v>26</v>
      </c>
      <c r="B27" t="s">
        <v>15</v>
      </c>
      <c r="C27" s="1">
        <v>45658</v>
      </c>
      <c r="D27" t="s">
        <v>27</v>
      </c>
      <c r="E27" t="s">
        <v>32</v>
      </c>
      <c r="F27" s="2" t="s">
        <v>36</v>
      </c>
      <c r="G27" t="str">
        <f t="shared" si="2"/>
        <v>Eden Juicy Apple 01-UK</v>
      </c>
      <c r="H27">
        <f t="shared" si="3"/>
        <v>1299</v>
      </c>
      <c r="I27">
        <f>VLOOKUP(G27,Table4[[SKU-COUNTRY2]:[Price in USD]],2,FALSE)</f>
        <v>101.6</v>
      </c>
      <c r="J27">
        <f>VLOOKUP(G27,Sheet3!$C$82:$I$100,MATCH(E27,Sheet3!C$82:H$82,0),FALSE) * VLOOKUP(C27,Table8[],2,0)</f>
        <v>132000</v>
      </c>
      <c r="K27">
        <f>ROUND(J27*VLOOKUP(F27,Sheet3!$A$106:$C$111,2,FALSE),0)</f>
        <v>40920</v>
      </c>
      <c r="L27">
        <f t="shared" si="0"/>
        <v>91080</v>
      </c>
      <c r="M27">
        <f t="shared" si="1"/>
        <v>69</v>
      </c>
      <c r="N27" t="str">
        <f t="shared" si="4"/>
        <v>No</v>
      </c>
      <c r="O27">
        <f t="shared" si="5"/>
        <v>0</v>
      </c>
      <c r="P27" t="str">
        <f t="shared" si="6"/>
        <v>None</v>
      </c>
      <c r="Q27" t="s">
        <v>124</v>
      </c>
    </row>
    <row r="28" spans="1:17" x14ac:dyDescent="0.3">
      <c r="A28">
        <v>27</v>
      </c>
      <c r="B28" t="s">
        <v>15</v>
      </c>
      <c r="C28" s="1">
        <v>45658</v>
      </c>
      <c r="D28" t="s">
        <v>27</v>
      </c>
      <c r="E28" t="s">
        <v>32</v>
      </c>
      <c r="F28" s="2" t="s">
        <v>37</v>
      </c>
      <c r="G28" t="str">
        <f t="shared" si="2"/>
        <v>Oudgasm Tobacco Oud 04-UK</v>
      </c>
      <c r="H28">
        <f t="shared" si="3"/>
        <v>715</v>
      </c>
      <c r="I28">
        <f>VLOOKUP(G28,Table4[[SKU-COUNTRY2]:[Price in USD]],2,FALSE)</f>
        <v>151.13</v>
      </c>
      <c r="J28">
        <f>VLOOKUP(G28,Sheet3!$C$82:$I$100,MATCH(E28,Sheet3!C$82:H$82,0),FALSE) * VLOOKUP(C28,Table8[],2,0)</f>
        <v>108000</v>
      </c>
      <c r="K28">
        <f>ROUND(J28*VLOOKUP(F28,Sheet3!$A$106:$C$111,2,FALSE),0)</f>
        <v>37800</v>
      </c>
      <c r="L28">
        <f t="shared" si="0"/>
        <v>70200</v>
      </c>
      <c r="M28">
        <f t="shared" si="1"/>
        <v>65</v>
      </c>
      <c r="N28" t="str">
        <f t="shared" si="4"/>
        <v>No</v>
      </c>
      <c r="O28">
        <f t="shared" si="5"/>
        <v>0</v>
      </c>
      <c r="P28" t="str">
        <f t="shared" si="6"/>
        <v>None</v>
      </c>
      <c r="Q28" t="s">
        <v>124</v>
      </c>
    </row>
    <row r="29" spans="1:17" x14ac:dyDescent="0.3">
      <c r="A29">
        <v>28</v>
      </c>
      <c r="B29" t="s">
        <v>15</v>
      </c>
      <c r="C29" s="1">
        <v>45658</v>
      </c>
      <c r="D29" t="s">
        <v>27</v>
      </c>
      <c r="E29" t="s">
        <v>32</v>
      </c>
      <c r="F29" s="2" t="s">
        <v>38</v>
      </c>
      <c r="G29" t="str">
        <f t="shared" si="2"/>
        <v>Yum Pistachio Gelato 33-UK</v>
      </c>
      <c r="H29">
        <f t="shared" si="3"/>
        <v>768</v>
      </c>
      <c r="I29">
        <f>VLOOKUP(G29,Table4[[SKU-COUNTRY2]:[Price in USD]],2,FALSE)</f>
        <v>101.6</v>
      </c>
      <c r="J29">
        <f>VLOOKUP(G29,Sheet3!$C$82:$I$100,MATCH(E29,Sheet3!C$82:H$82,0),FALSE) * VLOOKUP(C29,Table8[],2,0)</f>
        <v>78000</v>
      </c>
      <c r="K29">
        <f>ROUND(J29*VLOOKUP(F29,Sheet3!$A$106:$C$111,2,FALSE),0)</f>
        <v>24180</v>
      </c>
      <c r="L29">
        <f t="shared" si="0"/>
        <v>53820</v>
      </c>
      <c r="M29">
        <f t="shared" si="1"/>
        <v>69</v>
      </c>
      <c r="N29" t="str">
        <f t="shared" si="4"/>
        <v>No</v>
      </c>
      <c r="O29">
        <f t="shared" si="5"/>
        <v>0</v>
      </c>
      <c r="P29" t="str">
        <f t="shared" si="6"/>
        <v>None</v>
      </c>
      <c r="Q29" t="s">
        <v>124</v>
      </c>
    </row>
    <row r="30" spans="1:17" x14ac:dyDescent="0.3">
      <c r="A30">
        <v>29</v>
      </c>
      <c r="B30" t="s">
        <v>15</v>
      </c>
      <c r="C30" s="1">
        <v>45658</v>
      </c>
      <c r="D30" t="s">
        <v>27</v>
      </c>
      <c r="E30" t="s">
        <v>32</v>
      </c>
      <c r="F30" s="2" t="s">
        <v>39</v>
      </c>
      <c r="G30" t="str">
        <f t="shared" si="2"/>
        <v>Freedom Musk Santal 34-UK</v>
      </c>
      <c r="H30">
        <f t="shared" si="3"/>
        <v>591</v>
      </c>
      <c r="I30">
        <f>VLOOKUP(G30,Table4[[SKU-COUNTRY2]:[Price in USD]],2,FALSE)</f>
        <v>101.6</v>
      </c>
      <c r="J30">
        <f>VLOOKUP(G30,Sheet3!$C$82:$I$100,MATCH(E30,Sheet3!C$82:H$82,0),FALSE) * VLOOKUP(C30,Table8[],2,0)</f>
        <v>60000</v>
      </c>
      <c r="K30">
        <f>ROUND(J30*VLOOKUP(F30,Sheet3!$A$106:$C$111,2,FALSE),0)</f>
        <v>19200</v>
      </c>
      <c r="L30">
        <f t="shared" si="0"/>
        <v>40800</v>
      </c>
      <c r="M30">
        <f t="shared" si="1"/>
        <v>68</v>
      </c>
      <c r="N30" t="str">
        <f t="shared" si="4"/>
        <v>No</v>
      </c>
      <c r="O30">
        <f t="shared" si="5"/>
        <v>0</v>
      </c>
      <c r="P30" t="str">
        <f t="shared" si="6"/>
        <v>None</v>
      </c>
      <c r="Q30" t="s">
        <v>124</v>
      </c>
    </row>
    <row r="31" spans="1:17" x14ac:dyDescent="0.3">
      <c r="A31">
        <v>30</v>
      </c>
      <c r="B31" t="s">
        <v>15</v>
      </c>
      <c r="C31" s="1">
        <v>45658</v>
      </c>
      <c r="D31" t="s">
        <v>27</v>
      </c>
      <c r="E31" t="s">
        <v>32</v>
      </c>
      <c r="F31" s="2" t="s">
        <v>40</v>
      </c>
      <c r="G31" t="str">
        <f t="shared" si="2"/>
        <v>Musk 12-UK</v>
      </c>
      <c r="H31">
        <f t="shared" si="3"/>
        <v>413</v>
      </c>
      <c r="I31">
        <f>VLOOKUP(G31,Table4[[SKU-COUNTRY2]:[Price in USD]],2,FALSE)</f>
        <v>101.6</v>
      </c>
      <c r="J31">
        <f>VLOOKUP(G31,Sheet3!$C$82:$I$100,MATCH(E31,Sheet3!C$82:H$82,0),FALSE) * VLOOKUP(C31,Table8[],2,0)</f>
        <v>42000.000000000007</v>
      </c>
      <c r="K31">
        <f>ROUND(J31*VLOOKUP(F31,Sheet3!$A$106:$C$111,2,FALSE),0)</f>
        <v>12600</v>
      </c>
      <c r="L31">
        <f t="shared" si="0"/>
        <v>29400.000000000007</v>
      </c>
      <c r="M31">
        <f t="shared" si="1"/>
        <v>70</v>
      </c>
      <c r="N31" t="str">
        <f t="shared" si="4"/>
        <v>No</v>
      </c>
      <c r="O31">
        <f t="shared" si="5"/>
        <v>0</v>
      </c>
      <c r="P31" t="str">
        <f t="shared" si="6"/>
        <v>None</v>
      </c>
      <c r="Q31" t="s">
        <v>124</v>
      </c>
    </row>
    <row r="32" spans="1:17" x14ac:dyDescent="0.3">
      <c r="A32">
        <v>31</v>
      </c>
      <c r="B32" t="s">
        <v>15</v>
      </c>
      <c r="C32" s="1">
        <v>45658</v>
      </c>
      <c r="D32" t="s">
        <v>27</v>
      </c>
      <c r="E32" t="s">
        <v>31</v>
      </c>
      <c r="F32" s="2" t="s">
        <v>35</v>
      </c>
      <c r="G32" t="str">
        <f t="shared" si="2"/>
        <v>Vanilla 28-UK</v>
      </c>
      <c r="H32">
        <f t="shared" si="3"/>
        <v>886</v>
      </c>
      <c r="I32">
        <f>VLOOKUP(G32,Table4[[SKU-COUNTRY2]:[Price in USD]],2,FALSE)</f>
        <v>101.6</v>
      </c>
      <c r="J32">
        <f>VLOOKUP(G32,Sheet3!$C$82:$I$100,MATCH(E32,Sheet3!C$82:H$82,0),FALSE) * VLOOKUP(C32,Table8[],2,0)</f>
        <v>90000</v>
      </c>
      <c r="K32">
        <f>ROUND(J32*VLOOKUP(F32,Sheet3!$A$106:$C$111,2,FALSE),0)</f>
        <v>27000</v>
      </c>
      <c r="L32">
        <f t="shared" si="0"/>
        <v>63000</v>
      </c>
      <c r="M32">
        <f t="shared" si="1"/>
        <v>70</v>
      </c>
      <c r="N32" t="str">
        <f t="shared" si="4"/>
        <v>No</v>
      </c>
      <c r="O32">
        <f t="shared" si="5"/>
        <v>0</v>
      </c>
      <c r="P32" t="str">
        <f t="shared" si="6"/>
        <v>None</v>
      </c>
      <c r="Q32" t="s">
        <v>124</v>
      </c>
    </row>
    <row r="33" spans="1:17" x14ac:dyDescent="0.3">
      <c r="A33">
        <v>32</v>
      </c>
      <c r="B33" t="s">
        <v>15</v>
      </c>
      <c r="C33" s="1">
        <v>45658</v>
      </c>
      <c r="D33" t="s">
        <v>27</v>
      </c>
      <c r="E33" t="s">
        <v>31</v>
      </c>
      <c r="F33" s="2" t="s">
        <v>36</v>
      </c>
      <c r="G33" t="str">
        <f t="shared" si="2"/>
        <v>Eden Juicy Apple 01-UK</v>
      </c>
      <c r="H33">
        <f t="shared" si="3"/>
        <v>650</v>
      </c>
      <c r="I33">
        <f>VLOOKUP(G33,Table4[[SKU-COUNTRY2]:[Price in USD]],2,FALSE)</f>
        <v>101.6</v>
      </c>
      <c r="J33">
        <f>VLOOKUP(G33,Sheet3!$C$82:$I$100,MATCH(E33,Sheet3!C$82:H$82,0),FALSE) * VLOOKUP(C33,Table8[],2,0)</f>
        <v>66000</v>
      </c>
      <c r="K33">
        <f>ROUND(J33*VLOOKUP(F33,Sheet3!$A$106:$C$111,2,FALSE),0)</f>
        <v>20460</v>
      </c>
      <c r="L33">
        <f t="shared" si="0"/>
        <v>45540</v>
      </c>
      <c r="M33">
        <f t="shared" si="1"/>
        <v>69</v>
      </c>
      <c r="N33" t="str">
        <f t="shared" si="4"/>
        <v>No</v>
      </c>
      <c r="O33">
        <f t="shared" si="5"/>
        <v>0</v>
      </c>
      <c r="P33" t="str">
        <f t="shared" si="6"/>
        <v>None</v>
      </c>
      <c r="Q33" t="s">
        <v>124</v>
      </c>
    </row>
    <row r="34" spans="1:17" x14ac:dyDescent="0.3">
      <c r="A34">
        <v>33</v>
      </c>
      <c r="B34" t="s">
        <v>15</v>
      </c>
      <c r="C34" s="1">
        <v>45658</v>
      </c>
      <c r="D34" t="s">
        <v>27</v>
      </c>
      <c r="E34" t="s">
        <v>31</v>
      </c>
      <c r="F34" s="2" t="s">
        <v>37</v>
      </c>
      <c r="G34" t="str">
        <f t="shared" si="2"/>
        <v>Oudgasm Tobacco Oud 04-UK</v>
      </c>
      <c r="H34">
        <f t="shared" si="3"/>
        <v>357</v>
      </c>
      <c r="I34">
        <f>VLOOKUP(G34,Table4[[SKU-COUNTRY2]:[Price in USD]],2,FALSE)</f>
        <v>151.13</v>
      </c>
      <c r="J34">
        <f>VLOOKUP(G34,Sheet3!$C$82:$I$100,MATCH(E34,Sheet3!C$82:H$82,0),FALSE) * VLOOKUP(C34,Table8[],2,0)</f>
        <v>54000</v>
      </c>
      <c r="K34">
        <f>ROUND(J34*VLOOKUP(F34,Sheet3!$A$106:$C$111,2,FALSE),0)</f>
        <v>18900</v>
      </c>
      <c r="L34">
        <f t="shared" si="0"/>
        <v>35100</v>
      </c>
      <c r="M34">
        <f t="shared" si="1"/>
        <v>65</v>
      </c>
      <c r="N34" t="str">
        <f t="shared" si="4"/>
        <v>No</v>
      </c>
      <c r="O34">
        <f t="shared" si="5"/>
        <v>0</v>
      </c>
      <c r="P34" t="str">
        <f t="shared" si="6"/>
        <v>None</v>
      </c>
      <c r="Q34" t="s">
        <v>124</v>
      </c>
    </row>
    <row r="35" spans="1:17" x14ac:dyDescent="0.3">
      <c r="A35">
        <v>34</v>
      </c>
      <c r="B35" t="s">
        <v>15</v>
      </c>
      <c r="C35" s="1">
        <v>45658</v>
      </c>
      <c r="D35" t="s">
        <v>27</v>
      </c>
      <c r="E35" t="s">
        <v>31</v>
      </c>
      <c r="F35" s="2" t="s">
        <v>38</v>
      </c>
      <c r="G35" t="str">
        <f t="shared" si="2"/>
        <v>Yum Pistachio Gelato 33-UK</v>
      </c>
      <c r="H35">
        <f t="shared" si="3"/>
        <v>384</v>
      </c>
      <c r="I35">
        <f>VLOOKUP(G35,Table4[[SKU-COUNTRY2]:[Price in USD]],2,FALSE)</f>
        <v>101.6</v>
      </c>
      <c r="J35">
        <f>VLOOKUP(G35,Sheet3!$C$82:$I$100,MATCH(E35,Sheet3!C$82:H$82,0),FALSE) * VLOOKUP(C35,Table8[],2,0)</f>
        <v>39000</v>
      </c>
      <c r="K35">
        <f>ROUND(J35*VLOOKUP(F35,Sheet3!$A$106:$C$111,2,FALSE),0)</f>
        <v>12090</v>
      </c>
      <c r="L35">
        <f t="shared" si="0"/>
        <v>26910</v>
      </c>
      <c r="M35">
        <f t="shared" si="1"/>
        <v>69</v>
      </c>
      <c r="N35" t="str">
        <f t="shared" si="4"/>
        <v>No</v>
      </c>
      <c r="O35">
        <f t="shared" si="5"/>
        <v>0</v>
      </c>
      <c r="P35" t="str">
        <f t="shared" si="6"/>
        <v>None</v>
      </c>
      <c r="Q35" t="s">
        <v>124</v>
      </c>
    </row>
    <row r="36" spans="1:17" x14ac:dyDescent="0.3">
      <c r="A36">
        <v>35</v>
      </c>
      <c r="B36" t="s">
        <v>15</v>
      </c>
      <c r="C36" s="1">
        <v>45658</v>
      </c>
      <c r="D36" t="s">
        <v>27</v>
      </c>
      <c r="E36" t="s">
        <v>31</v>
      </c>
      <c r="F36" s="2" t="s">
        <v>39</v>
      </c>
      <c r="G36" t="str">
        <f t="shared" si="2"/>
        <v>Freedom Musk Santal 34-UK</v>
      </c>
      <c r="H36">
        <f t="shared" si="3"/>
        <v>295</v>
      </c>
      <c r="I36">
        <f>VLOOKUP(G36,Table4[[SKU-COUNTRY2]:[Price in USD]],2,FALSE)</f>
        <v>101.6</v>
      </c>
      <c r="J36">
        <f>VLOOKUP(G36,Sheet3!$C$82:$I$100,MATCH(E36,Sheet3!C$82:H$82,0),FALSE) * VLOOKUP(C36,Table8[],2,0)</f>
        <v>30000</v>
      </c>
      <c r="K36">
        <f>ROUND(J36*VLOOKUP(F36,Sheet3!$A$106:$C$111,2,FALSE),0)</f>
        <v>9600</v>
      </c>
      <c r="L36">
        <f t="shared" si="0"/>
        <v>20400</v>
      </c>
      <c r="M36">
        <f t="shared" si="1"/>
        <v>68</v>
      </c>
      <c r="N36" t="str">
        <f t="shared" si="4"/>
        <v>No</v>
      </c>
      <c r="O36">
        <f t="shared" si="5"/>
        <v>0</v>
      </c>
      <c r="P36" t="str">
        <f t="shared" si="6"/>
        <v>None</v>
      </c>
      <c r="Q36" t="s">
        <v>124</v>
      </c>
    </row>
    <row r="37" spans="1:17" x14ac:dyDescent="0.3">
      <c r="A37">
        <v>36</v>
      </c>
      <c r="B37" t="s">
        <v>15</v>
      </c>
      <c r="C37" s="1">
        <v>45658</v>
      </c>
      <c r="D37" t="s">
        <v>27</v>
      </c>
      <c r="E37" t="s">
        <v>31</v>
      </c>
      <c r="F37" s="2" t="s">
        <v>40</v>
      </c>
      <c r="G37" t="str">
        <f t="shared" si="2"/>
        <v>Musk 12-UK</v>
      </c>
      <c r="H37">
        <f t="shared" si="3"/>
        <v>207</v>
      </c>
      <c r="I37">
        <f>VLOOKUP(G37,Table4[[SKU-COUNTRY2]:[Price in USD]],2,FALSE)</f>
        <v>101.6</v>
      </c>
      <c r="J37">
        <f>VLOOKUP(G37,Sheet3!$C$82:$I$100,MATCH(E37,Sheet3!C$82:H$82,0),FALSE) * VLOOKUP(C37,Table8[],2,0)</f>
        <v>21000.000000000004</v>
      </c>
      <c r="K37">
        <f>ROUND(J37*VLOOKUP(F37,Sheet3!$A$106:$C$111,2,FALSE),0)</f>
        <v>6300</v>
      </c>
      <c r="L37">
        <f t="shared" si="0"/>
        <v>14700.000000000004</v>
      </c>
      <c r="M37">
        <f t="shared" si="1"/>
        <v>70</v>
      </c>
      <c r="N37" t="str">
        <f t="shared" si="4"/>
        <v>No</v>
      </c>
      <c r="O37">
        <f t="shared" si="5"/>
        <v>0</v>
      </c>
      <c r="P37" t="str">
        <f t="shared" si="6"/>
        <v>None</v>
      </c>
      <c r="Q37" t="s">
        <v>124</v>
      </c>
    </row>
    <row r="38" spans="1:17" x14ac:dyDescent="0.3">
      <c r="A38">
        <v>37</v>
      </c>
      <c r="B38" t="s">
        <v>15</v>
      </c>
      <c r="C38" s="1">
        <v>45658</v>
      </c>
      <c r="D38" t="s">
        <v>27</v>
      </c>
      <c r="E38" t="s">
        <v>33</v>
      </c>
      <c r="F38" s="2" t="s">
        <v>35</v>
      </c>
      <c r="G38" t="str">
        <f t="shared" si="2"/>
        <v>Vanilla 28-UK</v>
      </c>
      <c r="H38">
        <f t="shared" si="3"/>
        <v>664</v>
      </c>
      <c r="I38">
        <f>VLOOKUP(G38,Table4[[SKU-COUNTRY2]:[Price in USD]],2,FALSE)</f>
        <v>101.6</v>
      </c>
      <c r="J38">
        <f>VLOOKUP(G38,Sheet3!$C$82:$I$100,MATCH(E38,Sheet3!C$82:H$82,0),FALSE) * VLOOKUP(C38,Table8[],2,0)</f>
        <v>67500</v>
      </c>
      <c r="K38">
        <f>ROUND(J38*VLOOKUP(F38,Sheet3!$A$106:$C$111,2,FALSE),0)</f>
        <v>20250</v>
      </c>
      <c r="L38">
        <f t="shared" si="0"/>
        <v>47250</v>
      </c>
      <c r="M38">
        <f t="shared" si="1"/>
        <v>70</v>
      </c>
      <c r="N38" t="str">
        <f t="shared" si="4"/>
        <v>No</v>
      </c>
      <c r="O38">
        <f t="shared" si="5"/>
        <v>0</v>
      </c>
      <c r="P38" t="str">
        <f t="shared" si="6"/>
        <v>None</v>
      </c>
      <c r="Q38" t="s">
        <v>124</v>
      </c>
    </row>
    <row r="39" spans="1:17" x14ac:dyDescent="0.3">
      <c r="A39">
        <v>38</v>
      </c>
      <c r="B39" t="s">
        <v>15</v>
      </c>
      <c r="C39" s="1">
        <v>45658</v>
      </c>
      <c r="D39" t="s">
        <v>27</v>
      </c>
      <c r="E39" t="s">
        <v>33</v>
      </c>
      <c r="F39" s="2" t="s">
        <v>36</v>
      </c>
      <c r="G39" t="str">
        <f t="shared" si="2"/>
        <v>Eden Juicy Apple 01-UK</v>
      </c>
      <c r="H39">
        <f t="shared" si="3"/>
        <v>487</v>
      </c>
      <c r="I39">
        <f>VLOOKUP(G39,Table4[[SKU-COUNTRY2]:[Price in USD]],2,FALSE)</f>
        <v>101.6</v>
      </c>
      <c r="J39">
        <f>VLOOKUP(G39,Sheet3!$C$82:$I$100,MATCH(E39,Sheet3!C$82:H$82,0),FALSE) * VLOOKUP(C39,Table8[],2,0)</f>
        <v>49500</v>
      </c>
      <c r="K39">
        <f>ROUND(J39*VLOOKUP(F39,Sheet3!$A$106:$C$111,2,FALSE),0)</f>
        <v>15345</v>
      </c>
      <c r="L39">
        <f t="shared" si="0"/>
        <v>34155</v>
      </c>
      <c r="M39">
        <f t="shared" si="1"/>
        <v>69</v>
      </c>
      <c r="N39" t="str">
        <f t="shared" si="4"/>
        <v>No</v>
      </c>
      <c r="O39">
        <f t="shared" si="5"/>
        <v>0</v>
      </c>
      <c r="P39" t="str">
        <f t="shared" si="6"/>
        <v>None</v>
      </c>
      <c r="Q39" t="s">
        <v>124</v>
      </c>
    </row>
    <row r="40" spans="1:17" x14ac:dyDescent="0.3">
      <c r="A40">
        <v>39</v>
      </c>
      <c r="B40" t="s">
        <v>15</v>
      </c>
      <c r="C40" s="1">
        <v>45658</v>
      </c>
      <c r="D40" t="s">
        <v>27</v>
      </c>
      <c r="E40" t="s">
        <v>33</v>
      </c>
      <c r="F40" s="2" t="s">
        <v>37</v>
      </c>
      <c r="G40" t="str">
        <f t="shared" si="2"/>
        <v>Oudgasm Tobacco Oud 04-UK</v>
      </c>
      <c r="H40">
        <f t="shared" si="3"/>
        <v>268</v>
      </c>
      <c r="I40">
        <f>VLOOKUP(G40,Table4[[SKU-COUNTRY2]:[Price in USD]],2,FALSE)</f>
        <v>151.13</v>
      </c>
      <c r="J40">
        <f>VLOOKUP(G40,Sheet3!$C$82:$I$100,MATCH(E40,Sheet3!C$82:H$82,0),FALSE) * VLOOKUP(C40,Table8[],2,0)</f>
        <v>40500</v>
      </c>
      <c r="K40">
        <f>ROUND(J40*VLOOKUP(F40,Sheet3!$A$106:$C$111,2,FALSE),0)</f>
        <v>14175</v>
      </c>
      <c r="L40">
        <f t="shared" si="0"/>
        <v>26325</v>
      </c>
      <c r="M40">
        <f t="shared" si="1"/>
        <v>65</v>
      </c>
      <c r="N40" t="str">
        <f t="shared" si="4"/>
        <v>No</v>
      </c>
      <c r="O40">
        <f t="shared" si="5"/>
        <v>0</v>
      </c>
      <c r="P40" t="str">
        <f t="shared" si="6"/>
        <v>None</v>
      </c>
      <c r="Q40" t="s">
        <v>124</v>
      </c>
    </row>
    <row r="41" spans="1:17" x14ac:dyDescent="0.3">
      <c r="A41">
        <v>40</v>
      </c>
      <c r="B41" t="s">
        <v>15</v>
      </c>
      <c r="C41" s="1">
        <v>45658</v>
      </c>
      <c r="D41" t="s">
        <v>27</v>
      </c>
      <c r="E41" t="s">
        <v>33</v>
      </c>
      <c r="F41" s="2" t="s">
        <v>38</v>
      </c>
      <c r="G41" t="str">
        <f t="shared" si="2"/>
        <v>Yum Pistachio Gelato 33-UK</v>
      </c>
      <c r="H41">
        <f t="shared" si="3"/>
        <v>288</v>
      </c>
      <c r="I41">
        <f>VLOOKUP(G41,Table4[[SKU-COUNTRY2]:[Price in USD]],2,FALSE)</f>
        <v>101.6</v>
      </c>
      <c r="J41">
        <f>VLOOKUP(G41,Sheet3!$C$82:$I$100,MATCH(E41,Sheet3!C$82:H$82,0),FALSE) * VLOOKUP(C41,Table8[],2,0)</f>
        <v>29250</v>
      </c>
      <c r="K41">
        <f>ROUND(J41*VLOOKUP(F41,Sheet3!$A$106:$C$111,2,FALSE),0)</f>
        <v>9068</v>
      </c>
      <c r="L41">
        <f t="shared" si="0"/>
        <v>20182</v>
      </c>
      <c r="M41">
        <f t="shared" si="1"/>
        <v>69</v>
      </c>
      <c r="N41" t="str">
        <f t="shared" si="4"/>
        <v>No</v>
      </c>
      <c r="O41">
        <f t="shared" si="5"/>
        <v>0</v>
      </c>
      <c r="P41" t="str">
        <f t="shared" si="6"/>
        <v>None</v>
      </c>
      <c r="Q41" t="s">
        <v>124</v>
      </c>
    </row>
    <row r="42" spans="1:17" x14ac:dyDescent="0.3">
      <c r="A42">
        <v>41</v>
      </c>
      <c r="B42" t="s">
        <v>15</v>
      </c>
      <c r="C42" s="1">
        <v>45658</v>
      </c>
      <c r="D42" t="s">
        <v>27</v>
      </c>
      <c r="E42" t="s">
        <v>33</v>
      </c>
      <c r="F42" s="2" t="s">
        <v>39</v>
      </c>
      <c r="G42" t="str">
        <f t="shared" si="2"/>
        <v>Freedom Musk Santal 34-UK</v>
      </c>
      <c r="H42">
        <f t="shared" si="3"/>
        <v>221</v>
      </c>
      <c r="I42">
        <f>VLOOKUP(G42,Table4[[SKU-COUNTRY2]:[Price in USD]],2,FALSE)</f>
        <v>101.6</v>
      </c>
      <c r="J42">
        <f>VLOOKUP(G42,Sheet3!$C$82:$I$100,MATCH(E42,Sheet3!C$82:H$82,0),FALSE) * VLOOKUP(C42,Table8[],2,0)</f>
        <v>22500</v>
      </c>
      <c r="K42">
        <f>ROUND(J42*VLOOKUP(F42,Sheet3!$A$106:$C$111,2,FALSE),0)</f>
        <v>7200</v>
      </c>
      <c r="L42">
        <f t="shared" si="0"/>
        <v>15300</v>
      </c>
      <c r="M42">
        <f t="shared" si="1"/>
        <v>68</v>
      </c>
      <c r="N42" t="str">
        <f t="shared" si="4"/>
        <v>No</v>
      </c>
      <c r="O42">
        <f t="shared" si="5"/>
        <v>0</v>
      </c>
      <c r="P42" t="str">
        <f t="shared" si="6"/>
        <v>None</v>
      </c>
      <c r="Q42" t="s">
        <v>124</v>
      </c>
    </row>
    <row r="43" spans="1:17" x14ac:dyDescent="0.3">
      <c r="A43">
        <v>42</v>
      </c>
      <c r="B43" t="s">
        <v>15</v>
      </c>
      <c r="C43" s="1">
        <v>45658</v>
      </c>
      <c r="D43" t="s">
        <v>27</v>
      </c>
      <c r="E43" t="s">
        <v>33</v>
      </c>
      <c r="F43" s="2" t="s">
        <v>40</v>
      </c>
      <c r="G43" t="str">
        <f t="shared" si="2"/>
        <v>Musk 12-UK</v>
      </c>
      <c r="H43">
        <f t="shared" si="3"/>
        <v>155</v>
      </c>
      <c r="I43">
        <f>VLOOKUP(G43,Table4[[SKU-COUNTRY2]:[Price in USD]],2,FALSE)</f>
        <v>101.6</v>
      </c>
      <c r="J43">
        <f>VLOOKUP(G43,Sheet3!$C$82:$I$100,MATCH(E43,Sheet3!C$82:H$82,0),FALSE) * VLOOKUP(C43,Table8[],2,0)</f>
        <v>15750.000000000004</v>
      </c>
      <c r="K43">
        <f>ROUND(J43*VLOOKUP(F43,Sheet3!$A$106:$C$111,2,FALSE),0)</f>
        <v>4725</v>
      </c>
      <c r="L43">
        <f t="shared" si="0"/>
        <v>11025.000000000004</v>
      </c>
      <c r="M43">
        <f t="shared" si="1"/>
        <v>70</v>
      </c>
      <c r="N43" t="str">
        <f t="shared" si="4"/>
        <v>No</v>
      </c>
      <c r="O43">
        <f t="shared" si="5"/>
        <v>0</v>
      </c>
      <c r="P43" t="str">
        <f t="shared" si="6"/>
        <v>None</v>
      </c>
      <c r="Q43" t="s">
        <v>124</v>
      </c>
    </row>
    <row r="44" spans="1:17" x14ac:dyDescent="0.3">
      <c r="A44">
        <v>43</v>
      </c>
      <c r="B44" t="s">
        <v>15</v>
      </c>
      <c r="C44" s="1">
        <v>45658</v>
      </c>
      <c r="D44" t="s">
        <v>27</v>
      </c>
      <c r="E44" t="s">
        <v>34</v>
      </c>
      <c r="F44" s="2" t="s">
        <v>35</v>
      </c>
      <c r="G44" t="str">
        <f t="shared" si="2"/>
        <v>Vanilla 28-UK</v>
      </c>
      <c r="H44">
        <f t="shared" si="3"/>
        <v>1107</v>
      </c>
      <c r="I44">
        <f>VLOOKUP(G44,Table4[[SKU-COUNTRY2]:[Price in USD]],2,FALSE)</f>
        <v>101.6</v>
      </c>
      <c r="J44">
        <f>VLOOKUP(G44,Sheet3!$C$82:$I$100,MATCH(E44,Sheet3!C$82:H$82,0),FALSE) * VLOOKUP(C44,Table8[],2,0)</f>
        <v>112500</v>
      </c>
      <c r="K44">
        <f>ROUND(J44*VLOOKUP(F44,Sheet3!$A$106:$C$111,2,FALSE),0)</f>
        <v>33750</v>
      </c>
      <c r="L44">
        <f t="shared" si="0"/>
        <v>78750</v>
      </c>
      <c r="M44">
        <f t="shared" si="1"/>
        <v>70</v>
      </c>
      <c r="N44" t="str">
        <f t="shared" si="4"/>
        <v>No</v>
      </c>
      <c r="O44">
        <f t="shared" si="5"/>
        <v>0</v>
      </c>
      <c r="P44" t="str">
        <f t="shared" si="6"/>
        <v>None</v>
      </c>
      <c r="Q44" t="s">
        <v>124</v>
      </c>
    </row>
    <row r="45" spans="1:17" x14ac:dyDescent="0.3">
      <c r="A45">
        <v>44</v>
      </c>
      <c r="B45" t="s">
        <v>15</v>
      </c>
      <c r="C45" s="1">
        <v>45658</v>
      </c>
      <c r="D45" t="s">
        <v>27</v>
      </c>
      <c r="E45" t="s">
        <v>34</v>
      </c>
      <c r="F45" s="2" t="s">
        <v>36</v>
      </c>
      <c r="G45" t="str">
        <f t="shared" si="2"/>
        <v>Eden Juicy Apple 01-UK</v>
      </c>
      <c r="H45">
        <f t="shared" si="3"/>
        <v>812</v>
      </c>
      <c r="I45">
        <f>VLOOKUP(G45,Table4[[SKU-COUNTRY2]:[Price in USD]],2,FALSE)</f>
        <v>101.6</v>
      </c>
      <c r="J45">
        <f>VLOOKUP(G45,Sheet3!$C$82:$I$100,MATCH(E45,Sheet3!C$82:H$82,0),FALSE) * VLOOKUP(C45,Table8[],2,0)</f>
        <v>82500</v>
      </c>
      <c r="K45">
        <f>ROUND(J45*VLOOKUP(F45,Sheet3!$A$106:$C$111,2,FALSE),0)</f>
        <v>25575</v>
      </c>
      <c r="L45">
        <f t="shared" si="0"/>
        <v>56925</v>
      </c>
      <c r="M45">
        <f t="shared" si="1"/>
        <v>69</v>
      </c>
      <c r="N45" t="str">
        <f t="shared" si="4"/>
        <v>No</v>
      </c>
      <c r="O45">
        <f t="shared" si="5"/>
        <v>0</v>
      </c>
      <c r="P45" t="str">
        <f t="shared" si="6"/>
        <v>None</v>
      </c>
      <c r="Q45" t="s">
        <v>124</v>
      </c>
    </row>
    <row r="46" spans="1:17" x14ac:dyDescent="0.3">
      <c r="A46">
        <v>45</v>
      </c>
      <c r="B46" t="s">
        <v>15</v>
      </c>
      <c r="C46" s="1">
        <v>45658</v>
      </c>
      <c r="D46" t="s">
        <v>27</v>
      </c>
      <c r="E46" t="s">
        <v>34</v>
      </c>
      <c r="F46" s="2" t="s">
        <v>37</v>
      </c>
      <c r="G46" t="str">
        <f t="shared" si="2"/>
        <v>Oudgasm Tobacco Oud 04-UK</v>
      </c>
      <c r="H46">
        <f t="shared" si="3"/>
        <v>447</v>
      </c>
      <c r="I46">
        <f>VLOOKUP(G46,Table4[[SKU-COUNTRY2]:[Price in USD]],2,FALSE)</f>
        <v>151.13</v>
      </c>
      <c r="J46">
        <f>VLOOKUP(G46,Sheet3!$C$82:$I$100,MATCH(E46,Sheet3!C$82:H$82,0),FALSE) * VLOOKUP(C46,Table8[],2,0)</f>
        <v>67500</v>
      </c>
      <c r="K46">
        <f>ROUND(J46*VLOOKUP(F46,Sheet3!$A$106:$C$111,2,FALSE),0)</f>
        <v>23625</v>
      </c>
      <c r="L46">
        <f t="shared" si="0"/>
        <v>43875</v>
      </c>
      <c r="M46">
        <f t="shared" si="1"/>
        <v>65</v>
      </c>
      <c r="N46" t="str">
        <f t="shared" si="4"/>
        <v>No</v>
      </c>
      <c r="O46">
        <f t="shared" si="5"/>
        <v>0</v>
      </c>
      <c r="P46" t="str">
        <f t="shared" si="6"/>
        <v>None</v>
      </c>
      <c r="Q46" t="s">
        <v>124</v>
      </c>
    </row>
    <row r="47" spans="1:17" x14ac:dyDescent="0.3">
      <c r="A47">
        <v>46</v>
      </c>
      <c r="B47" t="s">
        <v>15</v>
      </c>
      <c r="C47" s="1">
        <v>45658</v>
      </c>
      <c r="D47" t="s">
        <v>27</v>
      </c>
      <c r="E47" t="s">
        <v>34</v>
      </c>
      <c r="F47" s="2" t="s">
        <v>38</v>
      </c>
      <c r="G47" t="str">
        <f t="shared" si="2"/>
        <v>Yum Pistachio Gelato 33-UK</v>
      </c>
      <c r="H47">
        <f t="shared" si="3"/>
        <v>480</v>
      </c>
      <c r="I47">
        <f>VLOOKUP(G47,Table4[[SKU-COUNTRY2]:[Price in USD]],2,FALSE)</f>
        <v>101.6</v>
      </c>
      <c r="J47">
        <f>VLOOKUP(G47,Sheet3!$C$82:$I$100,MATCH(E47,Sheet3!C$82:H$82,0),FALSE) * VLOOKUP(C47,Table8[],2,0)</f>
        <v>48750</v>
      </c>
      <c r="K47">
        <f>ROUND(J47*VLOOKUP(F47,Sheet3!$A$106:$C$111,2,FALSE),0)</f>
        <v>15113</v>
      </c>
      <c r="L47">
        <f t="shared" si="0"/>
        <v>33637</v>
      </c>
      <c r="M47">
        <f t="shared" si="1"/>
        <v>69</v>
      </c>
      <c r="N47" t="str">
        <f t="shared" si="4"/>
        <v>No</v>
      </c>
      <c r="O47">
        <f t="shared" si="5"/>
        <v>0</v>
      </c>
      <c r="P47" t="str">
        <f t="shared" si="6"/>
        <v>None</v>
      </c>
      <c r="Q47" t="s">
        <v>124</v>
      </c>
    </row>
    <row r="48" spans="1:17" x14ac:dyDescent="0.3">
      <c r="A48">
        <v>47</v>
      </c>
      <c r="B48" t="s">
        <v>15</v>
      </c>
      <c r="C48" s="1">
        <v>45658</v>
      </c>
      <c r="D48" t="s">
        <v>27</v>
      </c>
      <c r="E48" t="s">
        <v>34</v>
      </c>
      <c r="F48" s="2" t="s">
        <v>39</v>
      </c>
      <c r="G48" t="str">
        <f t="shared" si="2"/>
        <v>Freedom Musk Santal 34-UK</v>
      </c>
      <c r="H48">
        <f t="shared" si="3"/>
        <v>369</v>
      </c>
      <c r="I48">
        <f>VLOOKUP(G48,Table4[[SKU-COUNTRY2]:[Price in USD]],2,FALSE)</f>
        <v>101.6</v>
      </c>
      <c r="J48">
        <f>VLOOKUP(G48,Sheet3!$C$82:$I$100,MATCH(E48,Sheet3!C$82:H$82,0),FALSE) * VLOOKUP(C48,Table8[],2,0)</f>
        <v>37500</v>
      </c>
      <c r="K48">
        <f>ROUND(J48*VLOOKUP(F48,Sheet3!$A$106:$C$111,2,FALSE),0)</f>
        <v>12000</v>
      </c>
      <c r="L48">
        <f t="shared" si="0"/>
        <v>25500</v>
      </c>
      <c r="M48">
        <f t="shared" si="1"/>
        <v>68</v>
      </c>
      <c r="N48" t="str">
        <f t="shared" si="4"/>
        <v>No</v>
      </c>
      <c r="O48">
        <f t="shared" si="5"/>
        <v>0</v>
      </c>
      <c r="P48" t="str">
        <f t="shared" si="6"/>
        <v>None</v>
      </c>
      <c r="Q48" t="s">
        <v>124</v>
      </c>
    </row>
    <row r="49" spans="1:17" x14ac:dyDescent="0.3">
      <c r="A49">
        <v>48</v>
      </c>
      <c r="B49" t="s">
        <v>15</v>
      </c>
      <c r="C49" s="1">
        <v>45658</v>
      </c>
      <c r="D49" t="s">
        <v>27</v>
      </c>
      <c r="E49" t="s">
        <v>34</v>
      </c>
      <c r="F49" s="2" t="s">
        <v>40</v>
      </c>
      <c r="G49" t="str">
        <f t="shared" si="2"/>
        <v>Musk 12-UK</v>
      </c>
      <c r="H49">
        <f t="shared" si="3"/>
        <v>258</v>
      </c>
      <c r="I49">
        <f>VLOOKUP(G49,Table4[[SKU-COUNTRY2]:[Price in USD]],2,FALSE)</f>
        <v>101.6</v>
      </c>
      <c r="J49">
        <f>VLOOKUP(G49,Sheet3!$C$82:$I$100,MATCH(E49,Sheet3!C$82:H$82,0),FALSE) * VLOOKUP(C49,Table8[],2,0)</f>
        <v>26250</v>
      </c>
      <c r="K49">
        <f>ROUND(J49*VLOOKUP(F49,Sheet3!$A$106:$C$111,2,FALSE),0)</f>
        <v>7875</v>
      </c>
      <c r="L49">
        <f t="shared" si="0"/>
        <v>18375</v>
      </c>
      <c r="M49">
        <f t="shared" si="1"/>
        <v>70</v>
      </c>
      <c r="N49" t="str">
        <f t="shared" si="4"/>
        <v>No</v>
      </c>
      <c r="O49">
        <f t="shared" si="5"/>
        <v>0</v>
      </c>
      <c r="P49" t="str">
        <f t="shared" si="6"/>
        <v>None</v>
      </c>
      <c r="Q49" t="s">
        <v>124</v>
      </c>
    </row>
    <row r="50" spans="1:17" x14ac:dyDescent="0.3">
      <c r="A50">
        <v>49</v>
      </c>
      <c r="B50" t="s">
        <v>15</v>
      </c>
      <c r="C50" s="1">
        <v>45658</v>
      </c>
      <c r="D50" t="s">
        <v>29</v>
      </c>
      <c r="E50" t="s">
        <v>32</v>
      </c>
      <c r="F50" s="2" t="s">
        <v>35</v>
      </c>
      <c r="G50" t="str">
        <f t="shared" si="2"/>
        <v>Vanilla 28-UAE</v>
      </c>
      <c r="H50">
        <f t="shared" si="3"/>
        <v>1488</v>
      </c>
      <c r="I50">
        <f>VLOOKUP(G50,Table4[[SKU-COUNTRY2]:[Price in USD]],2,FALSE)</f>
        <v>113.4</v>
      </c>
      <c r="J50">
        <f>VLOOKUP(G50,Sheet3!$C$82:$I$100,MATCH(E50,Sheet3!C$82:H$82,0),FALSE) * VLOOKUP(C50,Table8[],2,0)</f>
        <v>168750</v>
      </c>
      <c r="K50">
        <f>ROUND(J50*VLOOKUP(F50,Sheet3!$A$106:$C$111,2,FALSE),0)</f>
        <v>50625</v>
      </c>
      <c r="L50">
        <f t="shared" si="0"/>
        <v>118125</v>
      </c>
      <c r="M50">
        <f t="shared" si="1"/>
        <v>70</v>
      </c>
      <c r="N50" t="str">
        <f t="shared" si="4"/>
        <v>No</v>
      </c>
      <c r="O50">
        <f t="shared" si="5"/>
        <v>0</v>
      </c>
      <c r="P50" t="str">
        <f t="shared" si="6"/>
        <v>None</v>
      </c>
      <c r="Q50" t="s">
        <v>124</v>
      </c>
    </row>
    <row r="51" spans="1:17" x14ac:dyDescent="0.3">
      <c r="A51">
        <v>50</v>
      </c>
      <c r="B51" t="s">
        <v>15</v>
      </c>
      <c r="C51" s="1">
        <v>45658</v>
      </c>
      <c r="D51" t="s">
        <v>29</v>
      </c>
      <c r="E51" t="s">
        <v>32</v>
      </c>
      <c r="F51" s="2" t="s">
        <v>36</v>
      </c>
      <c r="G51" t="str">
        <f t="shared" si="2"/>
        <v>Eden Juicy Apple 01-UAE</v>
      </c>
      <c r="H51">
        <f t="shared" si="3"/>
        <v>1116</v>
      </c>
      <c r="I51">
        <f>VLOOKUP(G51,Table4[[SKU-COUNTRY2]:[Price in USD]],2,FALSE)</f>
        <v>113.4</v>
      </c>
      <c r="J51">
        <f>VLOOKUP(G51,Sheet3!$C$82:$I$100,MATCH(E51,Sheet3!C$82:H$82,0),FALSE) * VLOOKUP(C51,Table8[],2,0)</f>
        <v>126562.5</v>
      </c>
      <c r="K51">
        <f>ROUND(J51*VLOOKUP(F51,Sheet3!$A$106:$C$111,2,FALSE),0)</f>
        <v>39234</v>
      </c>
      <c r="L51">
        <f t="shared" si="0"/>
        <v>87328.5</v>
      </c>
      <c r="M51">
        <f t="shared" si="1"/>
        <v>69</v>
      </c>
      <c r="N51" t="str">
        <f t="shared" si="4"/>
        <v>No</v>
      </c>
      <c r="O51">
        <f t="shared" si="5"/>
        <v>0</v>
      </c>
      <c r="P51" t="str">
        <f t="shared" si="6"/>
        <v>None</v>
      </c>
      <c r="Q51" t="s">
        <v>124</v>
      </c>
    </row>
    <row r="52" spans="1:17" x14ac:dyDescent="0.3">
      <c r="A52">
        <v>51</v>
      </c>
      <c r="B52" t="s">
        <v>15</v>
      </c>
      <c r="C52" s="1">
        <v>45658</v>
      </c>
      <c r="D52" t="s">
        <v>29</v>
      </c>
      <c r="E52" t="s">
        <v>32</v>
      </c>
      <c r="F52" s="2" t="s">
        <v>37</v>
      </c>
      <c r="G52" t="str">
        <f t="shared" si="2"/>
        <v>Oudgasm Tobacco Oud 04-UAE</v>
      </c>
      <c r="H52">
        <f t="shared" si="3"/>
        <v>1985</v>
      </c>
      <c r="I52">
        <f>VLOOKUP(G52,Table4[[SKU-COUNTRY2]:[Price in USD]],2,FALSE)</f>
        <v>148.77000000000001</v>
      </c>
      <c r="J52">
        <f>VLOOKUP(G52,Sheet3!$C$82:$I$100,MATCH(E52,Sheet3!C$82:H$82,0),FALSE) * VLOOKUP(C52,Table8[],2,0)</f>
        <v>295312.5</v>
      </c>
      <c r="K52">
        <f>ROUND(J52*VLOOKUP(F52,Sheet3!$A$106:$C$111,2,FALSE),0)</f>
        <v>103359</v>
      </c>
      <c r="L52">
        <f t="shared" si="0"/>
        <v>191953.5</v>
      </c>
      <c r="M52">
        <f t="shared" si="1"/>
        <v>65</v>
      </c>
      <c r="N52" t="str">
        <f t="shared" si="4"/>
        <v>No</v>
      </c>
      <c r="O52">
        <f t="shared" si="5"/>
        <v>0</v>
      </c>
      <c r="P52" t="str">
        <f t="shared" si="6"/>
        <v>None</v>
      </c>
      <c r="Q52" t="s">
        <v>124</v>
      </c>
    </row>
    <row r="53" spans="1:17" x14ac:dyDescent="0.3">
      <c r="A53">
        <v>52</v>
      </c>
      <c r="B53" t="s">
        <v>15</v>
      </c>
      <c r="C53" s="1">
        <v>45658</v>
      </c>
      <c r="D53" t="s">
        <v>29</v>
      </c>
      <c r="E53" t="s">
        <v>32</v>
      </c>
      <c r="F53" s="2" t="s">
        <v>38</v>
      </c>
      <c r="G53" t="str">
        <f t="shared" si="2"/>
        <v>Yum Pistachio Gelato 33-UAE</v>
      </c>
      <c r="H53">
        <f t="shared" si="3"/>
        <v>893</v>
      </c>
      <c r="I53">
        <f>VLOOKUP(G53,Table4[[SKU-COUNTRY2]:[Price in USD]],2,FALSE)</f>
        <v>113.4</v>
      </c>
      <c r="J53">
        <f>VLOOKUP(G53,Sheet3!$C$82:$I$100,MATCH(E53,Sheet3!C$82:H$82,0),FALSE) * VLOOKUP(C53,Table8[],2,0)</f>
        <v>101250</v>
      </c>
      <c r="K53">
        <f>ROUND(J53*VLOOKUP(F53,Sheet3!$A$106:$C$111,2,FALSE),0)</f>
        <v>31388</v>
      </c>
      <c r="L53">
        <f t="shared" si="0"/>
        <v>69862</v>
      </c>
      <c r="M53">
        <f t="shared" si="1"/>
        <v>69</v>
      </c>
      <c r="N53" t="str">
        <f t="shared" si="4"/>
        <v>No</v>
      </c>
      <c r="O53">
        <f t="shared" si="5"/>
        <v>0</v>
      </c>
      <c r="P53" t="str">
        <f t="shared" si="6"/>
        <v>None</v>
      </c>
      <c r="Q53" t="s">
        <v>124</v>
      </c>
    </row>
    <row r="54" spans="1:17" x14ac:dyDescent="0.3">
      <c r="A54">
        <v>53</v>
      </c>
      <c r="B54" t="s">
        <v>15</v>
      </c>
      <c r="C54" s="1">
        <v>45658</v>
      </c>
      <c r="D54" t="s">
        <v>29</v>
      </c>
      <c r="E54" t="s">
        <v>32</v>
      </c>
      <c r="F54" s="2" t="s">
        <v>39</v>
      </c>
      <c r="G54" t="str">
        <f t="shared" si="2"/>
        <v>Freedom Musk Santal 34-UAE</v>
      </c>
      <c r="H54">
        <f t="shared" si="3"/>
        <v>744</v>
      </c>
      <c r="I54">
        <f>VLOOKUP(G54,Table4[[SKU-COUNTRY2]:[Price in USD]],2,FALSE)</f>
        <v>113.4</v>
      </c>
      <c r="J54">
        <f>VLOOKUP(G54,Sheet3!$C$82:$I$100,MATCH(E54,Sheet3!C$82:H$82,0),FALSE) * VLOOKUP(C54,Table8[],2,0)</f>
        <v>84375</v>
      </c>
      <c r="K54">
        <f>ROUND(J54*VLOOKUP(F54,Sheet3!$A$106:$C$111,2,FALSE),0)</f>
        <v>27000</v>
      </c>
      <c r="L54">
        <f t="shared" si="0"/>
        <v>57375</v>
      </c>
      <c r="M54">
        <f t="shared" si="1"/>
        <v>68</v>
      </c>
      <c r="N54" t="str">
        <f t="shared" si="4"/>
        <v>No</v>
      </c>
      <c r="O54">
        <f t="shared" si="5"/>
        <v>0</v>
      </c>
      <c r="P54" t="str">
        <f t="shared" si="6"/>
        <v>None</v>
      </c>
      <c r="Q54" t="s">
        <v>124</v>
      </c>
    </row>
    <row r="55" spans="1:17" x14ac:dyDescent="0.3">
      <c r="A55">
        <v>54</v>
      </c>
      <c r="B55" t="s">
        <v>15</v>
      </c>
      <c r="C55" s="1">
        <v>45658</v>
      </c>
      <c r="D55" t="s">
        <v>29</v>
      </c>
      <c r="E55" t="s">
        <v>32</v>
      </c>
      <c r="F55" s="2" t="s">
        <v>40</v>
      </c>
      <c r="G55" t="str">
        <f t="shared" si="2"/>
        <v>Musk 12-UAE</v>
      </c>
      <c r="H55">
        <f t="shared" si="3"/>
        <v>595</v>
      </c>
      <c r="I55">
        <f>VLOOKUP(G55,Table4[[SKU-COUNTRY2]:[Price in USD]],2,FALSE)</f>
        <v>113.4</v>
      </c>
      <c r="J55">
        <f>VLOOKUP(G55,Sheet3!$C$82:$I$100,MATCH(E55,Sheet3!C$82:H$82,0),FALSE) * VLOOKUP(C55,Table8[],2,0)</f>
        <v>67500</v>
      </c>
      <c r="K55">
        <f>ROUND(J55*VLOOKUP(F55,Sheet3!$A$106:$C$111,2,FALSE),0)</f>
        <v>20250</v>
      </c>
      <c r="L55">
        <f t="shared" si="0"/>
        <v>47250</v>
      </c>
      <c r="M55">
        <f t="shared" si="1"/>
        <v>70</v>
      </c>
      <c r="N55" t="str">
        <f t="shared" si="4"/>
        <v>No</v>
      </c>
      <c r="O55">
        <f t="shared" si="5"/>
        <v>0</v>
      </c>
      <c r="P55" t="str">
        <f t="shared" si="6"/>
        <v>None</v>
      </c>
      <c r="Q55" t="s">
        <v>124</v>
      </c>
    </row>
    <row r="56" spans="1:17" x14ac:dyDescent="0.3">
      <c r="A56">
        <v>55</v>
      </c>
      <c r="B56" t="s">
        <v>15</v>
      </c>
      <c r="C56" s="1">
        <v>45658</v>
      </c>
      <c r="D56" t="s">
        <v>29</v>
      </c>
      <c r="E56" t="s">
        <v>31</v>
      </c>
      <c r="F56" s="2" t="s">
        <v>35</v>
      </c>
      <c r="G56" t="str">
        <f t="shared" si="2"/>
        <v>Vanilla 28-UAE</v>
      </c>
      <c r="H56">
        <f t="shared" si="3"/>
        <v>827</v>
      </c>
      <c r="I56">
        <f>VLOOKUP(G56,Table4[[SKU-COUNTRY2]:[Price in USD]],2,FALSE)</f>
        <v>113.4</v>
      </c>
      <c r="J56">
        <f>VLOOKUP(G56,Sheet3!$C$82:$I$100,MATCH(E56,Sheet3!C$82:H$82,0),FALSE) * VLOOKUP(C56,Table8[],2,0)</f>
        <v>93750</v>
      </c>
      <c r="K56">
        <f>ROUND(J56*VLOOKUP(F56,Sheet3!$A$106:$C$111,2,FALSE),0)</f>
        <v>28125</v>
      </c>
      <c r="L56">
        <f t="shared" si="0"/>
        <v>65625</v>
      </c>
      <c r="M56">
        <f t="shared" si="1"/>
        <v>70</v>
      </c>
      <c r="N56" t="str">
        <f t="shared" si="4"/>
        <v>No</v>
      </c>
      <c r="O56">
        <f t="shared" si="5"/>
        <v>0</v>
      </c>
      <c r="P56" t="str">
        <f t="shared" si="6"/>
        <v>None</v>
      </c>
      <c r="Q56" t="s">
        <v>124</v>
      </c>
    </row>
    <row r="57" spans="1:17" x14ac:dyDescent="0.3">
      <c r="A57">
        <v>56</v>
      </c>
      <c r="B57" t="s">
        <v>15</v>
      </c>
      <c r="C57" s="1">
        <v>45658</v>
      </c>
      <c r="D57" t="s">
        <v>29</v>
      </c>
      <c r="E57" t="s">
        <v>31</v>
      </c>
      <c r="F57" s="2" t="s">
        <v>36</v>
      </c>
      <c r="G57" t="str">
        <f t="shared" si="2"/>
        <v>Eden Juicy Apple 01-UAE</v>
      </c>
      <c r="H57">
        <f t="shared" si="3"/>
        <v>620</v>
      </c>
      <c r="I57">
        <f>VLOOKUP(G57,Table4[[SKU-COUNTRY2]:[Price in USD]],2,FALSE)</f>
        <v>113.4</v>
      </c>
      <c r="J57">
        <f>VLOOKUP(G57,Sheet3!$C$82:$I$100,MATCH(E57,Sheet3!C$82:H$82,0),FALSE) * VLOOKUP(C57,Table8[],2,0)</f>
        <v>70312.5</v>
      </c>
      <c r="K57">
        <f>ROUND(J57*VLOOKUP(F57,Sheet3!$A$106:$C$111,2,FALSE),0)</f>
        <v>21797</v>
      </c>
      <c r="L57">
        <f t="shared" si="0"/>
        <v>48515.5</v>
      </c>
      <c r="M57">
        <f t="shared" si="1"/>
        <v>69</v>
      </c>
      <c r="N57" t="str">
        <f t="shared" si="4"/>
        <v>No</v>
      </c>
      <c r="O57">
        <f t="shared" si="5"/>
        <v>0</v>
      </c>
      <c r="P57" t="str">
        <f t="shared" si="6"/>
        <v>None</v>
      </c>
      <c r="Q57" t="s">
        <v>124</v>
      </c>
    </row>
    <row r="58" spans="1:17" x14ac:dyDescent="0.3">
      <c r="A58">
        <v>57</v>
      </c>
      <c r="B58" t="s">
        <v>15</v>
      </c>
      <c r="C58" s="1">
        <v>45658</v>
      </c>
      <c r="D58" t="s">
        <v>29</v>
      </c>
      <c r="E58" t="s">
        <v>31</v>
      </c>
      <c r="F58" s="2" t="s">
        <v>37</v>
      </c>
      <c r="G58" t="str">
        <f t="shared" si="2"/>
        <v>Oudgasm Tobacco Oud 04-UAE</v>
      </c>
      <c r="H58">
        <f t="shared" si="3"/>
        <v>1103</v>
      </c>
      <c r="I58">
        <f>VLOOKUP(G58,Table4[[SKU-COUNTRY2]:[Price in USD]],2,FALSE)</f>
        <v>148.77000000000001</v>
      </c>
      <c r="J58">
        <f>VLOOKUP(G58,Sheet3!$C$82:$I$100,MATCH(E58,Sheet3!C$82:H$82,0),FALSE) * VLOOKUP(C58,Table8[],2,0)</f>
        <v>164062.5</v>
      </c>
      <c r="K58">
        <f>ROUND(J58*VLOOKUP(F58,Sheet3!$A$106:$C$111,2,FALSE),0)</f>
        <v>57422</v>
      </c>
      <c r="L58">
        <f t="shared" si="0"/>
        <v>106640.5</v>
      </c>
      <c r="M58">
        <f t="shared" si="1"/>
        <v>65</v>
      </c>
      <c r="N58" t="str">
        <f t="shared" si="4"/>
        <v>No</v>
      </c>
      <c r="O58">
        <f t="shared" si="5"/>
        <v>0</v>
      </c>
      <c r="P58" t="str">
        <f t="shared" si="6"/>
        <v>None</v>
      </c>
      <c r="Q58" t="s">
        <v>124</v>
      </c>
    </row>
    <row r="59" spans="1:17" x14ac:dyDescent="0.3">
      <c r="A59">
        <v>58</v>
      </c>
      <c r="B59" t="s">
        <v>15</v>
      </c>
      <c r="C59" s="1">
        <v>45658</v>
      </c>
      <c r="D59" t="s">
        <v>29</v>
      </c>
      <c r="E59" t="s">
        <v>31</v>
      </c>
      <c r="F59" s="2" t="s">
        <v>38</v>
      </c>
      <c r="G59" t="str">
        <f t="shared" si="2"/>
        <v>Yum Pistachio Gelato 33-UAE</v>
      </c>
      <c r="H59">
        <f t="shared" si="3"/>
        <v>496</v>
      </c>
      <c r="I59">
        <f>VLOOKUP(G59,Table4[[SKU-COUNTRY2]:[Price in USD]],2,FALSE)</f>
        <v>113.4</v>
      </c>
      <c r="J59">
        <f>VLOOKUP(G59,Sheet3!$C$82:$I$100,MATCH(E59,Sheet3!C$82:H$82,0),FALSE) * VLOOKUP(C59,Table8[],2,0)</f>
        <v>56250</v>
      </c>
      <c r="K59">
        <f>ROUND(J59*VLOOKUP(F59,Sheet3!$A$106:$C$111,2,FALSE),0)</f>
        <v>17438</v>
      </c>
      <c r="L59">
        <f t="shared" si="0"/>
        <v>38812</v>
      </c>
      <c r="M59">
        <f t="shared" si="1"/>
        <v>69</v>
      </c>
      <c r="N59" t="str">
        <f t="shared" si="4"/>
        <v>No</v>
      </c>
      <c r="O59">
        <f t="shared" si="5"/>
        <v>0</v>
      </c>
      <c r="P59" t="str">
        <f t="shared" si="6"/>
        <v>None</v>
      </c>
      <c r="Q59" t="s">
        <v>124</v>
      </c>
    </row>
    <row r="60" spans="1:17" x14ac:dyDescent="0.3">
      <c r="A60">
        <v>59</v>
      </c>
      <c r="B60" t="s">
        <v>15</v>
      </c>
      <c r="C60" s="1">
        <v>45658</v>
      </c>
      <c r="D60" t="s">
        <v>29</v>
      </c>
      <c r="E60" t="s">
        <v>31</v>
      </c>
      <c r="F60" s="2" t="s">
        <v>39</v>
      </c>
      <c r="G60" t="str">
        <f t="shared" si="2"/>
        <v>Freedom Musk Santal 34-UAE</v>
      </c>
      <c r="H60">
        <f t="shared" si="3"/>
        <v>413</v>
      </c>
      <c r="I60">
        <f>VLOOKUP(G60,Table4[[SKU-COUNTRY2]:[Price in USD]],2,FALSE)</f>
        <v>113.4</v>
      </c>
      <c r="J60">
        <f>VLOOKUP(G60,Sheet3!$C$82:$I$100,MATCH(E60,Sheet3!C$82:H$82,0),FALSE) * VLOOKUP(C60,Table8[],2,0)</f>
        <v>46875</v>
      </c>
      <c r="K60">
        <f>ROUND(J60*VLOOKUP(F60,Sheet3!$A$106:$C$111,2,FALSE),0)</f>
        <v>15000</v>
      </c>
      <c r="L60">
        <f t="shared" si="0"/>
        <v>31875</v>
      </c>
      <c r="M60">
        <f t="shared" si="1"/>
        <v>68</v>
      </c>
      <c r="N60" t="str">
        <f t="shared" si="4"/>
        <v>No</v>
      </c>
      <c r="O60">
        <f t="shared" si="5"/>
        <v>0</v>
      </c>
      <c r="P60" t="str">
        <f t="shared" si="6"/>
        <v>None</v>
      </c>
      <c r="Q60" t="s">
        <v>124</v>
      </c>
    </row>
    <row r="61" spans="1:17" x14ac:dyDescent="0.3">
      <c r="A61">
        <v>60</v>
      </c>
      <c r="B61" t="s">
        <v>15</v>
      </c>
      <c r="C61" s="1">
        <v>45658</v>
      </c>
      <c r="D61" t="s">
        <v>29</v>
      </c>
      <c r="E61" t="s">
        <v>31</v>
      </c>
      <c r="F61" s="2" t="s">
        <v>40</v>
      </c>
      <c r="G61" t="str">
        <f t="shared" si="2"/>
        <v>Musk 12-UAE</v>
      </c>
      <c r="H61">
        <f t="shared" si="3"/>
        <v>331</v>
      </c>
      <c r="I61">
        <f>VLOOKUP(G61,Table4[[SKU-COUNTRY2]:[Price in USD]],2,FALSE)</f>
        <v>113.4</v>
      </c>
      <c r="J61">
        <f>VLOOKUP(G61,Sheet3!$C$82:$I$100,MATCH(E61,Sheet3!C$82:H$82,0),FALSE) * VLOOKUP(C61,Table8[],2,0)</f>
        <v>37500</v>
      </c>
      <c r="K61">
        <f>ROUND(J61*VLOOKUP(F61,Sheet3!$A$106:$C$111,2,FALSE),0)</f>
        <v>11250</v>
      </c>
      <c r="L61">
        <f t="shared" si="0"/>
        <v>26250</v>
      </c>
      <c r="M61">
        <f t="shared" si="1"/>
        <v>70</v>
      </c>
      <c r="N61" t="str">
        <f t="shared" si="4"/>
        <v>No</v>
      </c>
      <c r="O61">
        <f t="shared" si="5"/>
        <v>0</v>
      </c>
      <c r="P61" t="str">
        <f t="shared" si="6"/>
        <v>None</v>
      </c>
      <c r="Q61" t="s">
        <v>124</v>
      </c>
    </row>
    <row r="62" spans="1:17" x14ac:dyDescent="0.3">
      <c r="A62">
        <v>61</v>
      </c>
      <c r="B62" t="s">
        <v>15</v>
      </c>
      <c r="C62" s="1">
        <v>45658</v>
      </c>
      <c r="D62" t="s">
        <v>29</v>
      </c>
      <c r="E62" t="s">
        <v>33</v>
      </c>
      <c r="F62" s="2" t="s">
        <v>35</v>
      </c>
      <c r="G62" t="str">
        <f t="shared" si="2"/>
        <v>Vanilla 28-UAE</v>
      </c>
      <c r="H62">
        <f t="shared" si="3"/>
        <v>661</v>
      </c>
      <c r="I62">
        <f>VLOOKUP(G62,Table4[[SKU-COUNTRY2]:[Price in USD]],2,FALSE)</f>
        <v>113.4</v>
      </c>
      <c r="J62">
        <f>VLOOKUP(G62,Sheet3!$C$82:$I$100,MATCH(E62,Sheet3!C$82:H$82,0),FALSE) * VLOOKUP(C62,Table8[],2,0)</f>
        <v>75000</v>
      </c>
      <c r="K62">
        <f>ROUND(J62*VLOOKUP(F62,Sheet3!$A$106:$C$111,2,FALSE),0)</f>
        <v>22500</v>
      </c>
      <c r="L62">
        <f t="shared" si="0"/>
        <v>52500</v>
      </c>
      <c r="M62">
        <f t="shared" si="1"/>
        <v>70</v>
      </c>
      <c r="N62" t="str">
        <f t="shared" si="4"/>
        <v>No</v>
      </c>
      <c r="O62">
        <f t="shared" si="5"/>
        <v>0</v>
      </c>
      <c r="P62" t="str">
        <f t="shared" si="6"/>
        <v>None</v>
      </c>
      <c r="Q62" t="s">
        <v>124</v>
      </c>
    </row>
    <row r="63" spans="1:17" x14ac:dyDescent="0.3">
      <c r="A63">
        <v>62</v>
      </c>
      <c r="B63" t="s">
        <v>15</v>
      </c>
      <c r="C63" s="1">
        <v>45658</v>
      </c>
      <c r="D63" t="s">
        <v>29</v>
      </c>
      <c r="E63" t="s">
        <v>33</v>
      </c>
      <c r="F63" s="2" t="s">
        <v>36</v>
      </c>
      <c r="G63" t="str">
        <f t="shared" si="2"/>
        <v>Eden Juicy Apple 01-UAE</v>
      </c>
      <c r="H63">
        <f t="shared" si="3"/>
        <v>496</v>
      </c>
      <c r="I63">
        <f>VLOOKUP(G63,Table4[[SKU-COUNTRY2]:[Price in USD]],2,FALSE)</f>
        <v>113.4</v>
      </c>
      <c r="J63">
        <f>VLOOKUP(G63,Sheet3!$C$82:$I$100,MATCH(E63,Sheet3!C$82:H$82,0),FALSE) * VLOOKUP(C63,Table8[],2,0)</f>
        <v>56250</v>
      </c>
      <c r="K63">
        <f>ROUND(J63*VLOOKUP(F63,Sheet3!$A$106:$C$111,2,FALSE),0)</f>
        <v>17438</v>
      </c>
      <c r="L63">
        <f t="shared" si="0"/>
        <v>38812</v>
      </c>
      <c r="M63">
        <f t="shared" si="1"/>
        <v>69</v>
      </c>
      <c r="N63" t="str">
        <f t="shared" si="4"/>
        <v>No</v>
      </c>
      <c r="O63">
        <f t="shared" si="5"/>
        <v>0</v>
      </c>
      <c r="P63" t="str">
        <f t="shared" si="6"/>
        <v>None</v>
      </c>
      <c r="Q63" t="s">
        <v>124</v>
      </c>
    </row>
    <row r="64" spans="1:17" x14ac:dyDescent="0.3">
      <c r="A64">
        <v>63</v>
      </c>
      <c r="B64" t="s">
        <v>15</v>
      </c>
      <c r="C64" s="1">
        <v>45658</v>
      </c>
      <c r="D64" t="s">
        <v>29</v>
      </c>
      <c r="E64" t="s">
        <v>33</v>
      </c>
      <c r="F64" s="2" t="s">
        <v>37</v>
      </c>
      <c r="G64" t="str">
        <f t="shared" si="2"/>
        <v>Oudgasm Tobacco Oud 04-UAE</v>
      </c>
      <c r="H64">
        <f t="shared" si="3"/>
        <v>882</v>
      </c>
      <c r="I64">
        <f>VLOOKUP(G64,Table4[[SKU-COUNTRY2]:[Price in USD]],2,FALSE)</f>
        <v>148.77000000000001</v>
      </c>
      <c r="J64">
        <f>VLOOKUP(G64,Sheet3!$C$82:$I$100,MATCH(E64,Sheet3!C$82:H$82,0),FALSE) * VLOOKUP(C64,Table8[],2,0)</f>
        <v>131250</v>
      </c>
      <c r="K64">
        <f>ROUND(J64*VLOOKUP(F64,Sheet3!$A$106:$C$111,2,FALSE),0)</f>
        <v>45938</v>
      </c>
      <c r="L64">
        <f t="shared" si="0"/>
        <v>85312</v>
      </c>
      <c r="M64">
        <f t="shared" si="1"/>
        <v>65</v>
      </c>
      <c r="N64" t="str">
        <f t="shared" si="4"/>
        <v>No</v>
      </c>
      <c r="O64">
        <f t="shared" si="5"/>
        <v>0</v>
      </c>
      <c r="P64" t="str">
        <f t="shared" si="6"/>
        <v>None</v>
      </c>
      <c r="Q64" t="s">
        <v>124</v>
      </c>
    </row>
    <row r="65" spans="1:17" x14ac:dyDescent="0.3">
      <c r="A65">
        <v>64</v>
      </c>
      <c r="B65" t="s">
        <v>15</v>
      </c>
      <c r="C65" s="1">
        <v>45658</v>
      </c>
      <c r="D65" t="s">
        <v>29</v>
      </c>
      <c r="E65" t="s">
        <v>33</v>
      </c>
      <c r="F65" s="2" t="s">
        <v>38</v>
      </c>
      <c r="G65" t="str">
        <f t="shared" si="2"/>
        <v>Yum Pistachio Gelato 33-UAE</v>
      </c>
      <c r="H65">
        <f t="shared" si="3"/>
        <v>397</v>
      </c>
      <c r="I65">
        <f>VLOOKUP(G65,Table4[[SKU-COUNTRY2]:[Price in USD]],2,FALSE)</f>
        <v>113.4</v>
      </c>
      <c r="J65">
        <f>VLOOKUP(G65,Sheet3!$C$82:$I$100,MATCH(E65,Sheet3!C$82:H$82,0),FALSE) * VLOOKUP(C65,Table8[],2,0)</f>
        <v>45000</v>
      </c>
      <c r="K65">
        <f>ROUND(J65*VLOOKUP(F65,Sheet3!$A$106:$C$111,2,FALSE),0)</f>
        <v>13950</v>
      </c>
      <c r="L65">
        <f t="shared" si="0"/>
        <v>31050</v>
      </c>
      <c r="M65">
        <f t="shared" si="1"/>
        <v>69</v>
      </c>
      <c r="N65" t="str">
        <f t="shared" si="4"/>
        <v>No</v>
      </c>
      <c r="O65">
        <f t="shared" si="5"/>
        <v>0</v>
      </c>
      <c r="P65" t="str">
        <f t="shared" si="6"/>
        <v>None</v>
      </c>
      <c r="Q65" t="s">
        <v>124</v>
      </c>
    </row>
    <row r="66" spans="1:17" x14ac:dyDescent="0.3">
      <c r="A66">
        <v>65</v>
      </c>
      <c r="B66" t="s">
        <v>15</v>
      </c>
      <c r="C66" s="1">
        <v>45658</v>
      </c>
      <c r="D66" t="s">
        <v>29</v>
      </c>
      <c r="E66" t="s">
        <v>33</v>
      </c>
      <c r="F66" s="2" t="s">
        <v>39</v>
      </c>
      <c r="G66" t="str">
        <f t="shared" si="2"/>
        <v>Freedom Musk Santal 34-UAE</v>
      </c>
      <c r="H66">
        <f t="shared" si="3"/>
        <v>331</v>
      </c>
      <c r="I66">
        <f>VLOOKUP(G66,Table4[[SKU-COUNTRY2]:[Price in USD]],2,FALSE)</f>
        <v>113.4</v>
      </c>
      <c r="J66">
        <f>VLOOKUP(G66,Sheet3!$C$82:$I$100,MATCH(E66,Sheet3!C$82:H$82,0),FALSE) * VLOOKUP(C66,Table8[],2,0)</f>
        <v>37500</v>
      </c>
      <c r="K66">
        <f>ROUND(J66*VLOOKUP(F66,Sheet3!$A$106:$C$111,2,FALSE),0)</f>
        <v>12000</v>
      </c>
      <c r="L66">
        <f t="shared" ref="L66:L129" si="7">J66-K66</f>
        <v>25500</v>
      </c>
      <c r="M66">
        <f t="shared" ref="M66:M129" si="8">ROUND(L66/J66*100, 1)</f>
        <v>68</v>
      </c>
      <c r="N66" t="str">
        <f t="shared" si="4"/>
        <v>No</v>
      </c>
      <c r="O66">
        <f t="shared" si="5"/>
        <v>0</v>
      </c>
      <c r="P66" t="str">
        <f t="shared" si="6"/>
        <v>None</v>
      </c>
      <c r="Q66" t="s">
        <v>124</v>
      </c>
    </row>
    <row r="67" spans="1:17" x14ac:dyDescent="0.3">
      <c r="A67">
        <v>66</v>
      </c>
      <c r="B67" t="s">
        <v>15</v>
      </c>
      <c r="C67" s="1">
        <v>45658</v>
      </c>
      <c r="D67" t="s">
        <v>29</v>
      </c>
      <c r="E67" t="s">
        <v>33</v>
      </c>
      <c r="F67" s="2" t="s">
        <v>40</v>
      </c>
      <c r="G67" t="str">
        <f t="shared" ref="G67:G130" si="9">_xlfn.CONCAT(F67,"-",D67,)</f>
        <v>Musk 12-UAE</v>
      </c>
      <c r="H67">
        <f t="shared" ref="H67:H130" si="10">ROUND(J67/I67,0)</f>
        <v>265</v>
      </c>
      <c r="I67">
        <f>VLOOKUP(G67,Table4[[SKU-COUNTRY2]:[Price in USD]],2,FALSE)</f>
        <v>113.4</v>
      </c>
      <c r="J67">
        <f>VLOOKUP(G67,Sheet3!$C$82:$I$100,MATCH(E67,Sheet3!C$82:H$82,0),FALSE) * VLOOKUP(C67,Table8[],2,0)</f>
        <v>30000</v>
      </c>
      <c r="K67">
        <f>ROUND(J67*VLOOKUP(F67,Sheet3!$A$106:$C$111,2,FALSE),0)</f>
        <v>9000</v>
      </c>
      <c r="L67">
        <f t="shared" si="7"/>
        <v>21000</v>
      </c>
      <c r="M67">
        <f t="shared" si="8"/>
        <v>70</v>
      </c>
      <c r="N67" t="str">
        <f t="shared" ref="N67:N130" si="11">IF(OR(
    MONTH(C67)=2,
    AND(MONTH(C67)=3, D67="UAE"),
    AND(MONTH(C67)=6, D67="UAE"),
    AND(MONTH(C67)=7, OR(D67="USA", D67="UK")),
    MONTH(C67)=9,
    AND(MONTH(C67)=11, OR(D67="USA", D67="UK"))
), "Yes", "No")</f>
        <v>No</v>
      </c>
      <c r="O67">
        <f t="shared" ref="O67:O130" si="12">IF(MONTH(C67)=2, 15,
IF(AND(MONTH(C67)=3, D67="UAE"), 20,
IF(AND(MONTH(C67)=6, D67="UAE"), 15,
IF(AND(MONTH(C67)=7, OR(D67="USA", D67="UK")), 20,
IF(AND(MONTH(C67)=11, OR(D67="USA", D67="UK")), 25,
0)))))</f>
        <v>0</v>
      </c>
      <c r="P67" t="str">
        <f t="shared" ref="P67:P130" si="13">IF(MONTH(C67)=2, "Valentine's Day",
IF(AND(MONTH(C67)=3, D67="UAE"), "Eid Al Fitr",
IF(AND(MONTH(C67)=6, D67="UAE"), "Eid Al Adha",
IF(AND(MONTH(C67)=7, OR(D67="USA", D67="UK")), "Summer Sale",
IF(MONTH(C67)=9, "Freedom Launch",
IF(AND(MONTH(C67)=11, OR(D67="USA", D67="UK")), "Black Friday",
"None"))))))</f>
        <v>None</v>
      </c>
      <c r="Q67" t="s">
        <v>124</v>
      </c>
    </row>
    <row r="68" spans="1:17" x14ac:dyDescent="0.3">
      <c r="A68">
        <v>67</v>
      </c>
      <c r="B68" t="s">
        <v>15</v>
      </c>
      <c r="C68" s="1">
        <v>45658</v>
      </c>
      <c r="D68" t="s">
        <v>29</v>
      </c>
      <c r="E68" t="s">
        <v>34</v>
      </c>
      <c r="F68" s="2" t="s">
        <v>35</v>
      </c>
      <c r="G68" t="str">
        <f t="shared" si="9"/>
        <v>Vanilla 28-UAE</v>
      </c>
      <c r="H68">
        <f t="shared" si="10"/>
        <v>331</v>
      </c>
      <c r="I68">
        <f>VLOOKUP(G68,Table4[[SKU-COUNTRY2]:[Price in USD]],2,FALSE)</f>
        <v>113.4</v>
      </c>
      <c r="J68">
        <f>VLOOKUP(G68,Sheet3!$C$82:$I$100,MATCH(E68,Sheet3!C$82:H$82,0),FALSE) * VLOOKUP(C68,Table8[],2,0)</f>
        <v>37500</v>
      </c>
      <c r="K68">
        <f>ROUND(J68*VLOOKUP(F68,Sheet3!$A$106:$C$111,2,FALSE),0)</f>
        <v>11250</v>
      </c>
      <c r="L68">
        <f t="shared" si="7"/>
        <v>26250</v>
      </c>
      <c r="M68">
        <f t="shared" si="8"/>
        <v>70</v>
      </c>
      <c r="N68" t="str">
        <f t="shared" si="11"/>
        <v>No</v>
      </c>
      <c r="O68">
        <f t="shared" si="12"/>
        <v>0</v>
      </c>
      <c r="P68" t="str">
        <f t="shared" si="13"/>
        <v>None</v>
      </c>
      <c r="Q68" t="s">
        <v>124</v>
      </c>
    </row>
    <row r="69" spans="1:17" x14ac:dyDescent="0.3">
      <c r="A69">
        <v>68</v>
      </c>
      <c r="B69" t="s">
        <v>15</v>
      </c>
      <c r="C69" s="1">
        <v>45658</v>
      </c>
      <c r="D69" t="s">
        <v>29</v>
      </c>
      <c r="E69" t="s">
        <v>34</v>
      </c>
      <c r="F69" s="2" t="s">
        <v>36</v>
      </c>
      <c r="G69" t="str">
        <f t="shared" si="9"/>
        <v>Eden Juicy Apple 01-UAE</v>
      </c>
      <c r="H69">
        <f t="shared" si="10"/>
        <v>248</v>
      </c>
      <c r="I69">
        <f>VLOOKUP(G69,Table4[[SKU-COUNTRY2]:[Price in USD]],2,FALSE)</f>
        <v>113.4</v>
      </c>
      <c r="J69">
        <f>VLOOKUP(G69,Sheet3!$C$82:$I$100,MATCH(E69,Sheet3!C$82:H$82,0),FALSE) * VLOOKUP(C69,Table8[],2,0)</f>
        <v>28125</v>
      </c>
      <c r="K69">
        <f>ROUND(J69*VLOOKUP(F69,Sheet3!$A$106:$C$111,2,FALSE),0)</f>
        <v>8719</v>
      </c>
      <c r="L69">
        <f t="shared" si="7"/>
        <v>19406</v>
      </c>
      <c r="M69">
        <f t="shared" si="8"/>
        <v>69</v>
      </c>
      <c r="N69" t="str">
        <f t="shared" si="11"/>
        <v>No</v>
      </c>
      <c r="O69">
        <f t="shared" si="12"/>
        <v>0</v>
      </c>
      <c r="P69" t="str">
        <f t="shared" si="13"/>
        <v>None</v>
      </c>
      <c r="Q69" t="s">
        <v>124</v>
      </c>
    </row>
    <row r="70" spans="1:17" x14ac:dyDescent="0.3">
      <c r="A70">
        <v>69</v>
      </c>
      <c r="B70" t="s">
        <v>15</v>
      </c>
      <c r="C70" s="1">
        <v>45658</v>
      </c>
      <c r="D70" t="s">
        <v>29</v>
      </c>
      <c r="E70" t="s">
        <v>34</v>
      </c>
      <c r="F70" s="2" t="s">
        <v>37</v>
      </c>
      <c r="G70" t="str">
        <f t="shared" si="9"/>
        <v>Oudgasm Tobacco Oud 04-UAE</v>
      </c>
      <c r="H70">
        <f t="shared" si="10"/>
        <v>441</v>
      </c>
      <c r="I70">
        <f>VLOOKUP(G70,Table4[[SKU-COUNTRY2]:[Price in USD]],2,FALSE)</f>
        <v>148.77000000000001</v>
      </c>
      <c r="J70">
        <f>VLOOKUP(G70,Sheet3!$C$82:$I$100,MATCH(E70,Sheet3!C$82:H$82,0),FALSE) * VLOOKUP(C70,Table8[],2,0)</f>
        <v>65625</v>
      </c>
      <c r="K70">
        <f>ROUND(J70*VLOOKUP(F70,Sheet3!$A$106:$C$111,2,FALSE),0)</f>
        <v>22969</v>
      </c>
      <c r="L70">
        <f t="shared" si="7"/>
        <v>42656</v>
      </c>
      <c r="M70">
        <f t="shared" si="8"/>
        <v>65</v>
      </c>
      <c r="N70" t="str">
        <f t="shared" si="11"/>
        <v>No</v>
      </c>
      <c r="O70">
        <f t="shared" si="12"/>
        <v>0</v>
      </c>
      <c r="P70" t="str">
        <f t="shared" si="13"/>
        <v>None</v>
      </c>
      <c r="Q70" t="s">
        <v>124</v>
      </c>
    </row>
    <row r="71" spans="1:17" x14ac:dyDescent="0.3">
      <c r="A71">
        <v>70</v>
      </c>
      <c r="B71" t="s">
        <v>15</v>
      </c>
      <c r="C71" s="1">
        <v>45658</v>
      </c>
      <c r="D71" t="s">
        <v>29</v>
      </c>
      <c r="E71" t="s">
        <v>34</v>
      </c>
      <c r="F71" s="2" t="s">
        <v>38</v>
      </c>
      <c r="G71" t="str">
        <f t="shared" si="9"/>
        <v>Yum Pistachio Gelato 33-UAE</v>
      </c>
      <c r="H71">
        <f t="shared" si="10"/>
        <v>198</v>
      </c>
      <c r="I71">
        <f>VLOOKUP(G71,Table4[[SKU-COUNTRY2]:[Price in USD]],2,FALSE)</f>
        <v>113.4</v>
      </c>
      <c r="J71">
        <f>VLOOKUP(G71,Sheet3!$C$82:$I$100,MATCH(E71,Sheet3!C$82:H$82,0),FALSE) * VLOOKUP(C71,Table8[],2,0)</f>
        <v>22500</v>
      </c>
      <c r="K71">
        <f>ROUND(J71*VLOOKUP(F71,Sheet3!$A$106:$C$111,2,FALSE),0)</f>
        <v>6975</v>
      </c>
      <c r="L71">
        <f t="shared" si="7"/>
        <v>15525</v>
      </c>
      <c r="M71">
        <f t="shared" si="8"/>
        <v>69</v>
      </c>
      <c r="N71" t="str">
        <f t="shared" si="11"/>
        <v>No</v>
      </c>
      <c r="O71">
        <f t="shared" si="12"/>
        <v>0</v>
      </c>
      <c r="P71" t="str">
        <f t="shared" si="13"/>
        <v>None</v>
      </c>
      <c r="Q71" t="s">
        <v>124</v>
      </c>
    </row>
    <row r="72" spans="1:17" x14ac:dyDescent="0.3">
      <c r="A72">
        <v>71</v>
      </c>
      <c r="B72" t="s">
        <v>15</v>
      </c>
      <c r="C72" s="1">
        <v>45658</v>
      </c>
      <c r="D72" t="s">
        <v>29</v>
      </c>
      <c r="E72" t="s">
        <v>34</v>
      </c>
      <c r="F72" s="2" t="s">
        <v>39</v>
      </c>
      <c r="G72" t="str">
        <f t="shared" si="9"/>
        <v>Freedom Musk Santal 34-UAE</v>
      </c>
      <c r="H72">
        <f t="shared" si="10"/>
        <v>165</v>
      </c>
      <c r="I72">
        <f>VLOOKUP(G72,Table4[[SKU-COUNTRY2]:[Price in USD]],2,FALSE)</f>
        <v>113.4</v>
      </c>
      <c r="J72">
        <f>VLOOKUP(G72,Sheet3!$C$82:$I$100,MATCH(E72,Sheet3!C$82:H$82,0),FALSE) * VLOOKUP(C72,Table8[],2,0)</f>
        <v>18750</v>
      </c>
      <c r="K72">
        <f>ROUND(J72*VLOOKUP(F72,Sheet3!$A$106:$C$111,2,FALSE),0)</f>
        <v>6000</v>
      </c>
      <c r="L72">
        <f t="shared" si="7"/>
        <v>12750</v>
      </c>
      <c r="M72">
        <f t="shared" si="8"/>
        <v>68</v>
      </c>
      <c r="N72" t="str">
        <f t="shared" si="11"/>
        <v>No</v>
      </c>
      <c r="O72">
        <f t="shared" si="12"/>
        <v>0</v>
      </c>
      <c r="P72" t="str">
        <f t="shared" si="13"/>
        <v>None</v>
      </c>
      <c r="Q72" t="s">
        <v>124</v>
      </c>
    </row>
    <row r="73" spans="1:17" x14ac:dyDescent="0.3">
      <c r="A73">
        <v>72</v>
      </c>
      <c r="B73" t="s">
        <v>15</v>
      </c>
      <c r="C73" s="1">
        <v>45658</v>
      </c>
      <c r="D73" t="s">
        <v>29</v>
      </c>
      <c r="E73" t="s">
        <v>34</v>
      </c>
      <c r="F73" s="2" t="s">
        <v>40</v>
      </c>
      <c r="G73" t="str">
        <f t="shared" si="9"/>
        <v>Musk 12-UAE</v>
      </c>
      <c r="H73">
        <f t="shared" si="10"/>
        <v>132</v>
      </c>
      <c r="I73">
        <f>VLOOKUP(G73,Table4[[SKU-COUNTRY2]:[Price in USD]],2,FALSE)</f>
        <v>113.4</v>
      </c>
      <c r="J73">
        <f>VLOOKUP(G73,Sheet3!$C$82:$I$100,MATCH(E73,Sheet3!C$82:H$82,0),FALSE) * VLOOKUP(C73,Table8[],2,0)</f>
        <v>15000</v>
      </c>
      <c r="K73">
        <f>ROUND(J73*VLOOKUP(F73,Sheet3!$A$106:$C$111,2,FALSE),0)</f>
        <v>4500</v>
      </c>
      <c r="L73">
        <f t="shared" si="7"/>
        <v>10500</v>
      </c>
      <c r="M73">
        <f t="shared" si="8"/>
        <v>70</v>
      </c>
      <c r="N73" t="str">
        <f t="shared" si="11"/>
        <v>No</v>
      </c>
      <c r="O73">
        <f t="shared" si="12"/>
        <v>0</v>
      </c>
      <c r="P73" t="str">
        <f t="shared" si="13"/>
        <v>None</v>
      </c>
      <c r="Q73" t="s">
        <v>124</v>
      </c>
    </row>
    <row r="74" spans="1:17" x14ac:dyDescent="0.3">
      <c r="A74">
        <v>73</v>
      </c>
      <c r="B74" t="s">
        <v>16</v>
      </c>
      <c r="C74" s="1">
        <v>45689</v>
      </c>
      <c r="D74" t="s">
        <v>28</v>
      </c>
      <c r="E74" t="s">
        <v>32</v>
      </c>
      <c r="F74" s="2" t="s">
        <v>35</v>
      </c>
      <c r="G74" t="str">
        <f t="shared" si="9"/>
        <v>Vanilla 28-USA</v>
      </c>
      <c r="H74">
        <f t="shared" si="10"/>
        <v>30800</v>
      </c>
      <c r="I74">
        <f>VLOOKUP(G74,Table4[[SKU-COUNTRY2]:[Price in USD]],2,FALSE)</f>
        <v>105</v>
      </c>
      <c r="J74">
        <f>VLOOKUP(G74,Sheet3!$C$82:$I$100,MATCH(E74,Sheet3!C$82:H$82,0),FALSE) * VLOOKUP(C74,Table8[],2,0)</f>
        <v>3234000</v>
      </c>
      <c r="K74">
        <f>ROUND(J74*VLOOKUP(F74,Sheet3!$A$106:$C$111,2,FALSE),0)</f>
        <v>970200</v>
      </c>
      <c r="L74">
        <f t="shared" si="7"/>
        <v>2263800</v>
      </c>
      <c r="M74">
        <f t="shared" si="8"/>
        <v>70</v>
      </c>
      <c r="N74" t="str">
        <f t="shared" si="11"/>
        <v>Yes</v>
      </c>
      <c r="O74">
        <f t="shared" si="12"/>
        <v>15</v>
      </c>
      <c r="P74" t="str">
        <f t="shared" si="13"/>
        <v>Valentine's Day</v>
      </c>
      <c r="Q74" t="s">
        <v>124</v>
      </c>
    </row>
    <row r="75" spans="1:17" x14ac:dyDescent="0.3">
      <c r="A75">
        <v>74</v>
      </c>
      <c r="B75" t="s">
        <v>16</v>
      </c>
      <c r="C75" s="1">
        <v>45689</v>
      </c>
      <c r="D75" t="s">
        <v>28</v>
      </c>
      <c r="E75" t="s">
        <v>32</v>
      </c>
      <c r="F75" s="2" t="s">
        <v>36</v>
      </c>
      <c r="G75" t="str">
        <f t="shared" si="9"/>
        <v>Eden Juicy Apple 01-USA</v>
      </c>
      <c r="H75">
        <f t="shared" si="10"/>
        <v>17600</v>
      </c>
      <c r="I75">
        <f>VLOOKUP(G75,Table4[[SKU-COUNTRY2]:[Price in USD]],2,FALSE)</f>
        <v>105</v>
      </c>
      <c r="J75">
        <f>VLOOKUP(G75,Sheet3!$C$82:$I$100,MATCH(E75,Sheet3!C$82:H$82,0),FALSE) * VLOOKUP(C75,Table8[],2,0)</f>
        <v>1848000.0000000002</v>
      </c>
      <c r="K75">
        <f>ROUND(J75*VLOOKUP(F75,Sheet3!$A$106:$C$111,2,FALSE),0)</f>
        <v>572880</v>
      </c>
      <c r="L75">
        <f t="shared" si="7"/>
        <v>1275120.0000000002</v>
      </c>
      <c r="M75">
        <f t="shared" si="8"/>
        <v>69</v>
      </c>
      <c r="N75" t="str">
        <f t="shared" si="11"/>
        <v>Yes</v>
      </c>
      <c r="O75">
        <f t="shared" si="12"/>
        <v>15</v>
      </c>
      <c r="P75" t="str">
        <f t="shared" si="13"/>
        <v>Valentine's Day</v>
      </c>
      <c r="Q75" t="s">
        <v>124</v>
      </c>
    </row>
    <row r="76" spans="1:17" x14ac:dyDescent="0.3">
      <c r="A76">
        <v>75</v>
      </c>
      <c r="B76" t="s">
        <v>16</v>
      </c>
      <c r="C76" s="1">
        <v>45689</v>
      </c>
      <c r="D76" t="s">
        <v>28</v>
      </c>
      <c r="E76" t="s">
        <v>32</v>
      </c>
      <c r="F76" s="2" t="s">
        <v>37</v>
      </c>
      <c r="G76" t="str">
        <f t="shared" si="9"/>
        <v>Oudgasm Tobacco Oud 04-USA</v>
      </c>
      <c r="H76">
        <f t="shared" si="10"/>
        <v>11880</v>
      </c>
      <c r="I76">
        <f>VLOOKUP(G76,Table4[[SKU-COUNTRY2]:[Price in USD]],2,FALSE)</f>
        <v>140</v>
      </c>
      <c r="J76">
        <f>VLOOKUP(G76,Sheet3!$C$82:$I$100,MATCH(E76,Sheet3!C$82:H$82,0),FALSE) * VLOOKUP(C76,Table8[],2,0)</f>
        <v>1663200</v>
      </c>
      <c r="K76">
        <f>ROUND(J76*VLOOKUP(F76,Sheet3!$A$106:$C$111,2,FALSE),0)</f>
        <v>582120</v>
      </c>
      <c r="L76">
        <f t="shared" si="7"/>
        <v>1081080</v>
      </c>
      <c r="M76">
        <f t="shared" si="8"/>
        <v>65</v>
      </c>
      <c r="N76" t="str">
        <f t="shared" si="11"/>
        <v>Yes</v>
      </c>
      <c r="O76">
        <f t="shared" si="12"/>
        <v>15</v>
      </c>
      <c r="P76" t="str">
        <f t="shared" si="13"/>
        <v>Valentine's Day</v>
      </c>
      <c r="Q76" t="s">
        <v>124</v>
      </c>
    </row>
    <row r="77" spans="1:17" x14ac:dyDescent="0.3">
      <c r="A77">
        <v>76</v>
      </c>
      <c r="B77" t="s">
        <v>16</v>
      </c>
      <c r="C77" s="1">
        <v>45689</v>
      </c>
      <c r="D77" t="s">
        <v>28</v>
      </c>
      <c r="E77" t="s">
        <v>32</v>
      </c>
      <c r="F77" s="2" t="s">
        <v>38</v>
      </c>
      <c r="G77" t="str">
        <f t="shared" si="9"/>
        <v>Yum Pistachio Gelato 33-USA</v>
      </c>
      <c r="H77">
        <f t="shared" si="10"/>
        <v>10560</v>
      </c>
      <c r="I77">
        <f>VLOOKUP(G77,Table4[[SKU-COUNTRY2]:[Price in USD]],2,FALSE)</f>
        <v>105</v>
      </c>
      <c r="J77">
        <f>VLOOKUP(G77,Sheet3!$C$82:$I$100,MATCH(E77,Sheet3!C$82:H$82,0),FALSE) * VLOOKUP(C77,Table8[],2,0)</f>
        <v>1108800</v>
      </c>
      <c r="K77">
        <f>ROUND(J77*VLOOKUP(F77,Sheet3!$A$106:$C$111,2,FALSE),0)</f>
        <v>343728</v>
      </c>
      <c r="L77">
        <f t="shared" si="7"/>
        <v>765072</v>
      </c>
      <c r="M77">
        <f t="shared" si="8"/>
        <v>69</v>
      </c>
      <c r="N77" t="str">
        <f t="shared" si="11"/>
        <v>Yes</v>
      </c>
      <c r="O77">
        <f t="shared" si="12"/>
        <v>15</v>
      </c>
      <c r="P77" t="str">
        <f t="shared" si="13"/>
        <v>Valentine's Day</v>
      </c>
      <c r="Q77" t="s">
        <v>124</v>
      </c>
    </row>
    <row r="78" spans="1:17" x14ac:dyDescent="0.3">
      <c r="A78">
        <v>77</v>
      </c>
      <c r="B78" t="s">
        <v>16</v>
      </c>
      <c r="C78" s="1">
        <v>45689</v>
      </c>
      <c r="D78" t="s">
        <v>28</v>
      </c>
      <c r="E78" t="s">
        <v>32</v>
      </c>
      <c r="F78" s="2" t="s">
        <v>39</v>
      </c>
      <c r="G78" t="str">
        <f t="shared" si="9"/>
        <v>Freedom Musk Santal 34-USA</v>
      </c>
      <c r="H78">
        <f t="shared" si="10"/>
        <v>8800</v>
      </c>
      <c r="I78">
        <f>VLOOKUP(G78,Table4[[SKU-COUNTRY2]:[Price in USD]],2,FALSE)</f>
        <v>105</v>
      </c>
      <c r="J78">
        <f>VLOOKUP(G78,Sheet3!$C$82:$I$100,MATCH(E78,Sheet3!C$82:H$82,0),FALSE) * VLOOKUP(C78,Table8[],2,0)</f>
        <v>924000.00000000012</v>
      </c>
      <c r="K78">
        <f>ROUND(J78*VLOOKUP(F78,Sheet3!$A$106:$C$111,2,FALSE),0)</f>
        <v>295680</v>
      </c>
      <c r="L78">
        <f t="shared" si="7"/>
        <v>628320.00000000012</v>
      </c>
      <c r="M78">
        <f t="shared" si="8"/>
        <v>68</v>
      </c>
      <c r="N78" t="str">
        <f t="shared" si="11"/>
        <v>Yes</v>
      </c>
      <c r="O78">
        <f t="shared" si="12"/>
        <v>15</v>
      </c>
      <c r="P78" t="str">
        <f t="shared" si="13"/>
        <v>Valentine's Day</v>
      </c>
      <c r="Q78" t="s">
        <v>124</v>
      </c>
    </row>
    <row r="79" spans="1:17" x14ac:dyDescent="0.3">
      <c r="A79">
        <v>78</v>
      </c>
      <c r="B79" t="s">
        <v>16</v>
      </c>
      <c r="C79" s="1">
        <v>45689</v>
      </c>
      <c r="D79" t="s">
        <v>28</v>
      </c>
      <c r="E79" t="s">
        <v>32</v>
      </c>
      <c r="F79" s="2" t="s">
        <v>40</v>
      </c>
      <c r="G79" t="str">
        <f t="shared" si="9"/>
        <v>Musk 12-USA</v>
      </c>
      <c r="H79">
        <f t="shared" si="10"/>
        <v>4400</v>
      </c>
      <c r="I79">
        <f>VLOOKUP(G79,Table4[[SKU-COUNTRY2]:[Price in USD]],2,FALSE)</f>
        <v>105</v>
      </c>
      <c r="J79">
        <f>VLOOKUP(G79,Sheet3!$C$82:$I$100,MATCH(E79,Sheet3!C$82:H$82,0),FALSE) * VLOOKUP(C79,Table8[],2,0)</f>
        <v>462000.00000000006</v>
      </c>
      <c r="K79">
        <f>ROUND(J79*VLOOKUP(F79,Sheet3!$A$106:$C$111,2,FALSE),0)</f>
        <v>138600</v>
      </c>
      <c r="L79">
        <f t="shared" si="7"/>
        <v>323400.00000000006</v>
      </c>
      <c r="M79">
        <f t="shared" si="8"/>
        <v>70</v>
      </c>
      <c r="N79" t="str">
        <f t="shared" si="11"/>
        <v>Yes</v>
      </c>
      <c r="O79">
        <f t="shared" si="12"/>
        <v>15</v>
      </c>
      <c r="P79" t="str">
        <f t="shared" si="13"/>
        <v>Valentine's Day</v>
      </c>
      <c r="Q79" t="s">
        <v>124</v>
      </c>
    </row>
    <row r="80" spans="1:17" x14ac:dyDescent="0.3">
      <c r="A80">
        <v>79</v>
      </c>
      <c r="B80" t="s">
        <v>16</v>
      </c>
      <c r="C80" s="1">
        <v>45689</v>
      </c>
      <c r="D80" t="s">
        <v>28</v>
      </c>
      <c r="E80" t="s">
        <v>31</v>
      </c>
      <c r="F80" s="2" t="s">
        <v>35</v>
      </c>
      <c r="G80" t="str">
        <f t="shared" si="9"/>
        <v>Vanilla 28-USA</v>
      </c>
      <c r="H80">
        <f t="shared" si="10"/>
        <v>14000</v>
      </c>
      <c r="I80">
        <f>VLOOKUP(G80,Table4[[SKU-COUNTRY2]:[Price in USD]],2,FALSE)</f>
        <v>105</v>
      </c>
      <c r="J80">
        <f>VLOOKUP(G80,Sheet3!$C$82:$I$100,MATCH(E80,Sheet3!C$82:H$82,0),FALSE) * VLOOKUP(C80,Table8[],2,0)</f>
        <v>1470000</v>
      </c>
      <c r="K80">
        <f>ROUND(J80*VLOOKUP(F80,Sheet3!$A$106:$C$111,2,FALSE),0)</f>
        <v>441000</v>
      </c>
      <c r="L80">
        <f t="shared" si="7"/>
        <v>1029000</v>
      </c>
      <c r="M80">
        <f t="shared" si="8"/>
        <v>70</v>
      </c>
      <c r="N80" t="str">
        <f t="shared" si="11"/>
        <v>Yes</v>
      </c>
      <c r="O80">
        <f t="shared" si="12"/>
        <v>15</v>
      </c>
      <c r="P80" t="str">
        <f t="shared" si="13"/>
        <v>Valentine's Day</v>
      </c>
      <c r="Q80" t="s">
        <v>124</v>
      </c>
    </row>
    <row r="81" spans="1:17" x14ac:dyDescent="0.3">
      <c r="A81">
        <v>80</v>
      </c>
      <c r="B81" t="s">
        <v>16</v>
      </c>
      <c r="C81" s="1">
        <v>45689</v>
      </c>
      <c r="D81" t="s">
        <v>28</v>
      </c>
      <c r="E81" t="s">
        <v>31</v>
      </c>
      <c r="F81" s="2" t="s">
        <v>36</v>
      </c>
      <c r="G81" t="str">
        <f t="shared" si="9"/>
        <v>Eden Juicy Apple 01-USA</v>
      </c>
      <c r="H81">
        <f t="shared" si="10"/>
        <v>8000</v>
      </c>
      <c r="I81">
        <f>VLOOKUP(G81,Table4[[SKU-COUNTRY2]:[Price in USD]],2,FALSE)</f>
        <v>105</v>
      </c>
      <c r="J81">
        <f>VLOOKUP(G81,Sheet3!$C$82:$I$100,MATCH(E81,Sheet3!C$82:H$82,0),FALSE) * VLOOKUP(C81,Table8[],2,0)</f>
        <v>840000</v>
      </c>
      <c r="K81">
        <f>ROUND(J81*VLOOKUP(F81,Sheet3!$A$106:$C$111,2,FALSE),0)</f>
        <v>260400</v>
      </c>
      <c r="L81">
        <f t="shared" si="7"/>
        <v>579600</v>
      </c>
      <c r="M81">
        <f t="shared" si="8"/>
        <v>69</v>
      </c>
      <c r="N81" t="str">
        <f t="shared" si="11"/>
        <v>Yes</v>
      </c>
      <c r="O81">
        <f t="shared" si="12"/>
        <v>15</v>
      </c>
      <c r="P81" t="str">
        <f t="shared" si="13"/>
        <v>Valentine's Day</v>
      </c>
      <c r="Q81" t="s">
        <v>124</v>
      </c>
    </row>
    <row r="82" spans="1:17" x14ac:dyDescent="0.3">
      <c r="A82">
        <v>81</v>
      </c>
      <c r="B82" t="s">
        <v>16</v>
      </c>
      <c r="C82" s="1">
        <v>45689</v>
      </c>
      <c r="D82" t="s">
        <v>28</v>
      </c>
      <c r="E82" t="s">
        <v>31</v>
      </c>
      <c r="F82" s="2" t="s">
        <v>37</v>
      </c>
      <c r="G82" t="str">
        <f t="shared" si="9"/>
        <v>Oudgasm Tobacco Oud 04-USA</v>
      </c>
      <c r="H82">
        <f t="shared" si="10"/>
        <v>5400</v>
      </c>
      <c r="I82">
        <f>VLOOKUP(G82,Table4[[SKU-COUNTRY2]:[Price in USD]],2,FALSE)</f>
        <v>140</v>
      </c>
      <c r="J82">
        <f>VLOOKUP(G82,Sheet3!$C$82:$I$100,MATCH(E82,Sheet3!C$82:H$82,0),FALSE) * VLOOKUP(C82,Table8[],2,0)</f>
        <v>756000</v>
      </c>
      <c r="K82">
        <f>ROUND(J82*VLOOKUP(F82,Sheet3!$A$106:$C$111,2,FALSE),0)</f>
        <v>264600</v>
      </c>
      <c r="L82">
        <f t="shared" si="7"/>
        <v>491400</v>
      </c>
      <c r="M82">
        <f t="shared" si="8"/>
        <v>65</v>
      </c>
      <c r="N82" t="str">
        <f t="shared" si="11"/>
        <v>Yes</v>
      </c>
      <c r="O82">
        <f t="shared" si="12"/>
        <v>15</v>
      </c>
      <c r="P82" t="str">
        <f t="shared" si="13"/>
        <v>Valentine's Day</v>
      </c>
      <c r="Q82" t="s">
        <v>124</v>
      </c>
    </row>
    <row r="83" spans="1:17" x14ac:dyDescent="0.3">
      <c r="A83">
        <v>82</v>
      </c>
      <c r="B83" t="s">
        <v>16</v>
      </c>
      <c r="C83" s="1">
        <v>45689</v>
      </c>
      <c r="D83" t="s">
        <v>28</v>
      </c>
      <c r="E83" t="s">
        <v>31</v>
      </c>
      <c r="F83" s="2" t="s">
        <v>38</v>
      </c>
      <c r="G83" t="str">
        <f t="shared" si="9"/>
        <v>Yum Pistachio Gelato 33-USA</v>
      </c>
      <c r="H83">
        <f t="shared" si="10"/>
        <v>4800</v>
      </c>
      <c r="I83">
        <f>VLOOKUP(G83,Table4[[SKU-COUNTRY2]:[Price in USD]],2,FALSE)</f>
        <v>105</v>
      </c>
      <c r="J83">
        <f>VLOOKUP(G83,Sheet3!$C$82:$I$100,MATCH(E83,Sheet3!C$82:H$82,0),FALSE) * VLOOKUP(C83,Table8[],2,0)</f>
        <v>504000</v>
      </c>
      <c r="K83">
        <f>ROUND(J83*VLOOKUP(F83,Sheet3!$A$106:$C$111,2,FALSE),0)</f>
        <v>156240</v>
      </c>
      <c r="L83">
        <f t="shared" si="7"/>
        <v>347760</v>
      </c>
      <c r="M83">
        <f t="shared" si="8"/>
        <v>69</v>
      </c>
      <c r="N83" t="str">
        <f t="shared" si="11"/>
        <v>Yes</v>
      </c>
      <c r="O83">
        <f t="shared" si="12"/>
        <v>15</v>
      </c>
      <c r="P83" t="str">
        <f t="shared" si="13"/>
        <v>Valentine's Day</v>
      </c>
      <c r="Q83" t="s">
        <v>124</v>
      </c>
    </row>
    <row r="84" spans="1:17" x14ac:dyDescent="0.3">
      <c r="A84">
        <v>83</v>
      </c>
      <c r="B84" t="s">
        <v>16</v>
      </c>
      <c r="C84" s="1">
        <v>45689</v>
      </c>
      <c r="D84" t="s">
        <v>28</v>
      </c>
      <c r="E84" t="s">
        <v>31</v>
      </c>
      <c r="F84" s="2" t="s">
        <v>39</v>
      </c>
      <c r="G84" t="str">
        <f t="shared" si="9"/>
        <v>Freedom Musk Santal 34-USA</v>
      </c>
      <c r="H84">
        <f t="shared" si="10"/>
        <v>4000</v>
      </c>
      <c r="I84">
        <f>VLOOKUP(G84,Table4[[SKU-COUNTRY2]:[Price in USD]],2,FALSE)</f>
        <v>105</v>
      </c>
      <c r="J84">
        <f>VLOOKUP(G84,Sheet3!$C$82:$I$100,MATCH(E84,Sheet3!C$82:H$82,0),FALSE) * VLOOKUP(C84,Table8[],2,0)</f>
        <v>420000</v>
      </c>
      <c r="K84">
        <f>ROUND(J84*VLOOKUP(F84,Sheet3!$A$106:$C$111,2,FALSE),0)</f>
        <v>134400</v>
      </c>
      <c r="L84">
        <f t="shared" si="7"/>
        <v>285600</v>
      </c>
      <c r="M84">
        <f t="shared" si="8"/>
        <v>68</v>
      </c>
      <c r="N84" t="str">
        <f t="shared" si="11"/>
        <v>Yes</v>
      </c>
      <c r="O84">
        <f t="shared" si="12"/>
        <v>15</v>
      </c>
      <c r="P84" t="str">
        <f t="shared" si="13"/>
        <v>Valentine's Day</v>
      </c>
      <c r="Q84" t="s">
        <v>124</v>
      </c>
    </row>
    <row r="85" spans="1:17" x14ac:dyDescent="0.3">
      <c r="A85">
        <v>84</v>
      </c>
      <c r="B85" t="s">
        <v>16</v>
      </c>
      <c r="C85" s="1">
        <v>45689</v>
      </c>
      <c r="D85" t="s">
        <v>28</v>
      </c>
      <c r="E85" t="s">
        <v>31</v>
      </c>
      <c r="F85" s="2" t="s">
        <v>40</v>
      </c>
      <c r="G85" t="str">
        <f t="shared" si="9"/>
        <v>Musk 12-USA</v>
      </c>
      <c r="H85">
        <f t="shared" si="10"/>
        <v>2000</v>
      </c>
      <c r="I85">
        <f>VLOOKUP(G85,Table4[[SKU-COUNTRY2]:[Price in USD]],2,FALSE)</f>
        <v>105</v>
      </c>
      <c r="J85">
        <f>VLOOKUP(G85,Sheet3!$C$82:$I$100,MATCH(E85,Sheet3!C$82:H$82,0),FALSE) * VLOOKUP(C85,Table8[],2,0)</f>
        <v>210000</v>
      </c>
      <c r="K85">
        <f>ROUND(J85*VLOOKUP(F85,Sheet3!$A$106:$C$111,2,FALSE),0)</f>
        <v>63000</v>
      </c>
      <c r="L85">
        <f t="shared" si="7"/>
        <v>147000</v>
      </c>
      <c r="M85">
        <f t="shared" si="8"/>
        <v>70</v>
      </c>
      <c r="N85" t="str">
        <f t="shared" si="11"/>
        <v>Yes</v>
      </c>
      <c r="O85">
        <f t="shared" si="12"/>
        <v>15</v>
      </c>
      <c r="P85" t="str">
        <f t="shared" si="13"/>
        <v>Valentine's Day</v>
      </c>
      <c r="Q85" t="s">
        <v>124</v>
      </c>
    </row>
    <row r="86" spans="1:17" x14ac:dyDescent="0.3">
      <c r="A86">
        <v>85</v>
      </c>
      <c r="B86" t="s">
        <v>16</v>
      </c>
      <c r="C86" s="1">
        <v>45689</v>
      </c>
      <c r="D86" t="s">
        <v>28</v>
      </c>
      <c r="E86" t="s">
        <v>33</v>
      </c>
      <c r="F86" s="2" t="s">
        <v>35</v>
      </c>
      <c r="G86" t="str">
        <f t="shared" si="9"/>
        <v>Vanilla 28-USA</v>
      </c>
      <c r="H86">
        <f t="shared" si="10"/>
        <v>6720</v>
      </c>
      <c r="I86">
        <f>VLOOKUP(G86,Table4[[SKU-COUNTRY2]:[Price in USD]],2,FALSE)</f>
        <v>105</v>
      </c>
      <c r="J86">
        <f>VLOOKUP(G86,Sheet3!$C$82:$I$100,MATCH(E86,Sheet3!C$82:H$82,0),FALSE) * VLOOKUP(C86,Table8[],2,0)</f>
        <v>705600</v>
      </c>
      <c r="K86">
        <f>ROUND(J86*VLOOKUP(F86,Sheet3!$A$106:$C$111,2,FALSE),0)</f>
        <v>211680</v>
      </c>
      <c r="L86">
        <f t="shared" si="7"/>
        <v>493920</v>
      </c>
      <c r="M86">
        <f t="shared" si="8"/>
        <v>70</v>
      </c>
      <c r="N86" t="str">
        <f t="shared" si="11"/>
        <v>Yes</v>
      </c>
      <c r="O86">
        <f t="shared" si="12"/>
        <v>15</v>
      </c>
      <c r="P86" t="str">
        <f t="shared" si="13"/>
        <v>Valentine's Day</v>
      </c>
      <c r="Q86" t="s">
        <v>124</v>
      </c>
    </row>
    <row r="87" spans="1:17" x14ac:dyDescent="0.3">
      <c r="A87">
        <v>86</v>
      </c>
      <c r="B87" t="s">
        <v>16</v>
      </c>
      <c r="C87" s="1">
        <v>45689</v>
      </c>
      <c r="D87" t="s">
        <v>28</v>
      </c>
      <c r="E87" t="s">
        <v>33</v>
      </c>
      <c r="F87" s="2" t="s">
        <v>36</v>
      </c>
      <c r="G87" t="str">
        <f t="shared" si="9"/>
        <v>Eden Juicy Apple 01-USA</v>
      </c>
      <c r="H87">
        <f t="shared" si="10"/>
        <v>3840</v>
      </c>
      <c r="I87">
        <f>VLOOKUP(G87,Table4[[SKU-COUNTRY2]:[Price in USD]],2,FALSE)</f>
        <v>105</v>
      </c>
      <c r="J87">
        <f>VLOOKUP(G87,Sheet3!$C$82:$I$100,MATCH(E87,Sheet3!C$82:H$82,0),FALSE) * VLOOKUP(C87,Table8[],2,0)</f>
        <v>403200</v>
      </c>
      <c r="K87">
        <f>ROUND(J87*VLOOKUP(F87,Sheet3!$A$106:$C$111,2,FALSE),0)</f>
        <v>124992</v>
      </c>
      <c r="L87">
        <f t="shared" si="7"/>
        <v>278208</v>
      </c>
      <c r="M87">
        <f t="shared" si="8"/>
        <v>69</v>
      </c>
      <c r="N87" t="str">
        <f t="shared" si="11"/>
        <v>Yes</v>
      </c>
      <c r="O87">
        <f t="shared" si="12"/>
        <v>15</v>
      </c>
      <c r="P87" t="str">
        <f t="shared" si="13"/>
        <v>Valentine's Day</v>
      </c>
      <c r="Q87" t="s">
        <v>124</v>
      </c>
    </row>
    <row r="88" spans="1:17" x14ac:dyDescent="0.3">
      <c r="A88">
        <v>87</v>
      </c>
      <c r="B88" t="s">
        <v>16</v>
      </c>
      <c r="C88" s="1">
        <v>45689</v>
      </c>
      <c r="D88" t="s">
        <v>28</v>
      </c>
      <c r="E88" t="s">
        <v>33</v>
      </c>
      <c r="F88" s="2" t="s">
        <v>37</v>
      </c>
      <c r="G88" t="str">
        <f t="shared" si="9"/>
        <v>Oudgasm Tobacco Oud 04-USA</v>
      </c>
      <c r="H88">
        <f t="shared" si="10"/>
        <v>2592</v>
      </c>
      <c r="I88">
        <f>VLOOKUP(G88,Table4[[SKU-COUNTRY2]:[Price in USD]],2,FALSE)</f>
        <v>140</v>
      </c>
      <c r="J88">
        <f>VLOOKUP(G88,Sheet3!$C$82:$I$100,MATCH(E88,Sheet3!C$82:H$82,0),FALSE) * VLOOKUP(C88,Table8[],2,0)</f>
        <v>362880</v>
      </c>
      <c r="K88">
        <f>ROUND(J88*VLOOKUP(F88,Sheet3!$A$106:$C$111,2,FALSE),0)</f>
        <v>127008</v>
      </c>
      <c r="L88">
        <f t="shared" si="7"/>
        <v>235872</v>
      </c>
      <c r="M88">
        <f t="shared" si="8"/>
        <v>65</v>
      </c>
      <c r="N88" t="str">
        <f t="shared" si="11"/>
        <v>Yes</v>
      </c>
      <c r="O88">
        <f t="shared" si="12"/>
        <v>15</v>
      </c>
      <c r="P88" t="str">
        <f t="shared" si="13"/>
        <v>Valentine's Day</v>
      </c>
      <c r="Q88" t="s">
        <v>124</v>
      </c>
    </row>
    <row r="89" spans="1:17" x14ac:dyDescent="0.3">
      <c r="A89">
        <v>88</v>
      </c>
      <c r="B89" t="s">
        <v>16</v>
      </c>
      <c r="C89" s="1">
        <v>45689</v>
      </c>
      <c r="D89" t="s">
        <v>28</v>
      </c>
      <c r="E89" t="s">
        <v>33</v>
      </c>
      <c r="F89" s="2" t="s">
        <v>38</v>
      </c>
      <c r="G89" t="str">
        <f t="shared" si="9"/>
        <v>Yum Pistachio Gelato 33-USA</v>
      </c>
      <c r="H89">
        <f t="shared" si="10"/>
        <v>2304</v>
      </c>
      <c r="I89">
        <f>VLOOKUP(G89,Table4[[SKU-COUNTRY2]:[Price in USD]],2,FALSE)</f>
        <v>105</v>
      </c>
      <c r="J89">
        <f>VLOOKUP(G89,Sheet3!$C$82:$I$100,MATCH(E89,Sheet3!C$82:H$82,0),FALSE) * VLOOKUP(C89,Table8[],2,0)</f>
        <v>241920</v>
      </c>
      <c r="K89">
        <f>ROUND(J89*VLOOKUP(F89,Sheet3!$A$106:$C$111,2,FALSE),0)</f>
        <v>74995</v>
      </c>
      <c r="L89">
        <f t="shared" si="7"/>
        <v>166925</v>
      </c>
      <c r="M89">
        <f t="shared" si="8"/>
        <v>69</v>
      </c>
      <c r="N89" t="str">
        <f t="shared" si="11"/>
        <v>Yes</v>
      </c>
      <c r="O89">
        <f t="shared" si="12"/>
        <v>15</v>
      </c>
      <c r="P89" t="str">
        <f t="shared" si="13"/>
        <v>Valentine's Day</v>
      </c>
      <c r="Q89" t="s">
        <v>124</v>
      </c>
    </row>
    <row r="90" spans="1:17" x14ac:dyDescent="0.3">
      <c r="A90">
        <v>89</v>
      </c>
      <c r="B90" t="s">
        <v>16</v>
      </c>
      <c r="C90" s="1">
        <v>45689</v>
      </c>
      <c r="D90" t="s">
        <v>28</v>
      </c>
      <c r="E90" t="s">
        <v>33</v>
      </c>
      <c r="F90" s="2" t="s">
        <v>39</v>
      </c>
      <c r="G90" t="str">
        <f t="shared" si="9"/>
        <v>Freedom Musk Santal 34-USA</v>
      </c>
      <c r="H90">
        <f t="shared" si="10"/>
        <v>1920</v>
      </c>
      <c r="I90">
        <f>VLOOKUP(G90,Table4[[SKU-COUNTRY2]:[Price in USD]],2,FALSE)</f>
        <v>105</v>
      </c>
      <c r="J90">
        <f>VLOOKUP(G90,Sheet3!$C$82:$I$100,MATCH(E90,Sheet3!C$82:H$82,0),FALSE) * VLOOKUP(C90,Table8[],2,0)</f>
        <v>201600</v>
      </c>
      <c r="K90">
        <f>ROUND(J90*VLOOKUP(F90,Sheet3!$A$106:$C$111,2,FALSE),0)</f>
        <v>64512</v>
      </c>
      <c r="L90">
        <f t="shared" si="7"/>
        <v>137088</v>
      </c>
      <c r="M90">
        <f t="shared" si="8"/>
        <v>68</v>
      </c>
      <c r="N90" t="str">
        <f t="shared" si="11"/>
        <v>Yes</v>
      </c>
      <c r="O90">
        <f t="shared" si="12"/>
        <v>15</v>
      </c>
      <c r="P90" t="str">
        <f t="shared" si="13"/>
        <v>Valentine's Day</v>
      </c>
      <c r="Q90" t="s">
        <v>124</v>
      </c>
    </row>
    <row r="91" spans="1:17" x14ac:dyDescent="0.3">
      <c r="A91">
        <v>90</v>
      </c>
      <c r="B91" t="s">
        <v>16</v>
      </c>
      <c r="C91" s="1">
        <v>45689</v>
      </c>
      <c r="D91" t="s">
        <v>28</v>
      </c>
      <c r="E91" t="s">
        <v>33</v>
      </c>
      <c r="F91" s="2" t="s">
        <v>40</v>
      </c>
      <c r="G91" t="str">
        <f t="shared" si="9"/>
        <v>Musk 12-USA</v>
      </c>
      <c r="H91">
        <f t="shared" si="10"/>
        <v>960</v>
      </c>
      <c r="I91">
        <f>VLOOKUP(G91,Table4[[SKU-COUNTRY2]:[Price in USD]],2,FALSE)</f>
        <v>105</v>
      </c>
      <c r="J91">
        <f>VLOOKUP(G91,Sheet3!$C$82:$I$100,MATCH(E91,Sheet3!C$82:H$82,0),FALSE) * VLOOKUP(C91,Table8[],2,0)</f>
        <v>100800</v>
      </c>
      <c r="K91">
        <f>ROUND(J91*VLOOKUP(F91,Sheet3!$A$106:$C$111,2,FALSE),0)</f>
        <v>30240</v>
      </c>
      <c r="L91">
        <f t="shared" si="7"/>
        <v>70560</v>
      </c>
      <c r="M91">
        <f t="shared" si="8"/>
        <v>70</v>
      </c>
      <c r="N91" t="str">
        <f t="shared" si="11"/>
        <v>Yes</v>
      </c>
      <c r="O91">
        <f t="shared" si="12"/>
        <v>15</v>
      </c>
      <c r="P91" t="str">
        <f t="shared" si="13"/>
        <v>Valentine's Day</v>
      </c>
      <c r="Q91" t="s">
        <v>124</v>
      </c>
    </row>
    <row r="92" spans="1:17" x14ac:dyDescent="0.3">
      <c r="A92">
        <v>91</v>
      </c>
      <c r="B92" t="s">
        <v>16</v>
      </c>
      <c r="C92" s="1">
        <v>45689</v>
      </c>
      <c r="D92" t="s">
        <v>28</v>
      </c>
      <c r="E92" t="s">
        <v>34</v>
      </c>
      <c r="F92" s="2" t="s">
        <v>35</v>
      </c>
      <c r="G92" t="str">
        <f t="shared" si="9"/>
        <v>Vanilla 28-USA</v>
      </c>
      <c r="H92">
        <f t="shared" si="10"/>
        <v>4480</v>
      </c>
      <c r="I92">
        <f>VLOOKUP(G92,Table4[[SKU-COUNTRY2]:[Price in USD]],2,FALSE)</f>
        <v>105</v>
      </c>
      <c r="J92">
        <f>VLOOKUP(G92,Sheet3!$C$82:$I$100,MATCH(E92,Sheet3!C$82:H$82,0),FALSE) * VLOOKUP(C92,Table8[],2,0)</f>
        <v>470400</v>
      </c>
      <c r="K92">
        <f>ROUND(J92*VLOOKUP(F92,Sheet3!$A$106:$C$111,2,FALSE),0)</f>
        <v>141120</v>
      </c>
      <c r="L92">
        <f t="shared" si="7"/>
        <v>329280</v>
      </c>
      <c r="M92">
        <f t="shared" si="8"/>
        <v>70</v>
      </c>
      <c r="N92" t="str">
        <f t="shared" si="11"/>
        <v>Yes</v>
      </c>
      <c r="O92">
        <f t="shared" si="12"/>
        <v>15</v>
      </c>
      <c r="P92" t="str">
        <f t="shared" si="13"/>
        <v>Valentine's Day</v>
      </c>
      <c r="Q92" t="s">
        <v>124</v>
      </c>
    </row>
    <row r="93" spans="1:17" x14ac:dyDescent="0.3">
      <c r="A93">
        <v>92</v>
      </c>
      <c r="B93" t="s">
        <v>16</v>
      </c>
      <c r="C93" s="1">
        <v>45689</v>
      </c>
      <c r="D93" t="s">
        <v>28</v>
      </c>
      <c r="E93" t="s">
        <v>34</v>
      </c>
      <c r="F93" s="2" t="s">
        <v>36</v>
      </c>
      <c r="G93" t="str">
        <f t="shared" si="9"/>
        <v>Eden Juicy Apple 01-USA</v>
      </c>
      <c r="H93">
        <f t="shared" si="10"/>
        <v>2560</v>
      </c>
      <c r="I93">
        <f>VLOOKUP(G93,Table4[[SKU-COUNTRY2]:[Price in USD]],2,FALSE)</f>
        <v>105</v>
      </c>
      <c r="J93">
        <f>VLOOKUP(G93,Sheet3!$C$82:$I$100,MATCH(E93,Sheet3!C$82:H$82,0),FALSE) * VLOOKUP(C93,Table8[],2,0)</f>
        <v>268800</v>
      </c>
      <c r="K93">
        <f>ROUND(J93*VLOOKUP(F93,Sheet3!$A$106:$C$111,2,FALSE),0)</f>
        <v>83328</v>
      </c>
      <c r="L93">
        <f t="shared" si="7"/>
        <v>185472</v>
      </c>
      <c r="M93">
        <f t="shared" si="8"/>
        <v>69</v>
      </c>
      <c r="N93" t="str">
        <f t="shared" si="11"/>
        <v>Yes</v>
      </c>
      <c r="O93">
        <f t="shared" si="12"/>
        <v>15</v>
      </c>
      <c r="P93" t="str">
        <f t="shared" si="13"/>
        <v>Valentine's Day</v>
      </c>
      <c r="Q93" t="s">
        <v>124</v>
      </c>
    </row>
    <row r="94" spans="1:17" x14ac:dyDescent="0.3">
      <c r="A94">
        <v>93</v>
      </c>
      <c r="B94" t="s">
        <v>16</v>
      </c>
      <c r="C94" s="1">
        <v>45689</v>
      </c>
      <c r="D94" t="s">
        <v>28</v>
      </c>
      <c r="E94" t="s">
        <v>34</v>
      </c>
      <c r="F94" s="2" t="s">
        <v>37</v>
      </c>
      <c r="G94" t="str">
        <f t="shared" si="9"/>
        <v>Oudgasm Tobacco Oud 04-USA</v>
      </c>
      <c r="H94">
        <f t="shared" si="10"/>
        <v>1728</v>
      </c>
      <c r="I94">
        <f>VLOOKUP(G94,Table4[[SKU-COUNTRY2]:[Price in USD]],2,FALSE)</f>
        <v>140</v>
      </c>
      <c r="J94">
        <f>VLOOKUP(G94,Sheet3!$C$82:$I$100,MATCH(E94,Sheet3!C$82:H$82,0),FALSE) * VLOOKUP(C94,Table8[],2,0)</f>
        <v>241920</v>
      </c>
      <c r="K94">
        <f>ROUND(J94*VLOOKUP(F94,Sheet3!$A$106:$C$111,2,FALSE),0)</f>
        <v>84672</v>
      </c>
      <c r="L94">
        <f t="shared" si="7"/>
        <v>157248</v>
      </c>
      <c r="M94">
        <f t="shared" si="8"/>
        <v>65</v>
      </c>
      <c r="N94" t="str">
        <f t="shared" si="11"/>
        <v>Yes</v>
      </c>
      <c r="O94">
        <f t="shared" si="12"/>
        <v>15</v>
      </c>
      <c r="P94" t="str">
        <f t="shared" si="13"/>
        <v>Valentine's Day</v>
      </c>
      <c r="Q94" t="s">
        <v>124</v>
      </c>
    </row>
    <row r="95" spans="1:17" x14ac:dyDescent="0.3">
      <c r="A95">
        <v>94</v>
      </c>
      <c r="B95" t="s">
        <v>16</v>
      </c>
      <c r="C95" s="1">
        <v>45689</v>
      </c>
      <c r="D95" t="s">
        <v>28</v>
      </c>
      <c r="E95" t="s">
        <v>34</v>
      </c>
      <c r="F95" s="2" t="s">
        <v>38</v>
      </c>
      <c r="G95" t="str">
        <f t="shared" si="9"/>
        <v>Yum Pistachio Gelato 33-USA</v>
      </c>
      <c r="H95">
        <f t="shared" si="10"/>
        <v>1536</v>
      </c>
      <c r="I95">
        <f>VLOOKUP(G95,Table4[[SKU-COUNTRY2]:[Price in USD]],2,FALSE)</f>
        <v>105</v>
      </c>
      <c r="J95">
        <f>VLOOKUP(G95,Sheet3!$C$82:$I$100,MATCH(E95,Sheet3!C$82:H$82,0),FALSE) * VLOOKUP(C95,Table8[],2,0)</f>
        <v>161280</v>
      </c>
      <c r="K95">
        <f>ROUND(J95*VLOOKUP(F95,Sheet3!$A$106:$C$111,2,FALSE),0)</f>
        <v>49997</v>
      </c>
      <c r="L95">
        <f t="shared" si="7"/>
        <v>111283</v>
      </c>
      <c r="M95">
        <f t="shared" si="8"/>
        <v>69</v>
      </c>
      <c r="N95" t="str">
        <f t="shared" si="11"/>
        <v>Yes</v>
      </c>
      <c r="O95">
        <f t="shared" si="12"/>
        <v>15</v>
      </c>
      <c r="P95" t="str">
        <f t="shared" si="13"/>
        <v>Valentine's Day</v>
      </c>
      <c r="Q95" t="s">
        <v>124</v>
      </c>
    </row>
    <row r="96" spans="1:17" x14ac:dyDescent="0.3">
      <c r="A96">
        <v>95</v>
      </c>
      <c r="B96" t="s">
        <v>16</v>
      </c>
      <c r="C96" s="1">
        <v>45689</v>
      </c>
      <c r="D96" t="s">
        <v>28</v>
      </c>
      <c r="E96" t="s">
        <v>34</v>
      </c>
      <c r="F96" s="2" t="s">
        <v>39</v>
      </c>
      <c r="G96" t="str">
        <f t="shared" si="9"/>
        <v>Freedom Musk Santal 34-USA</v>
      </c>
      <c r="H96">
        <f t="shared" si="10"/>
        <v>1280</v>
      </c>
      <c r="I96">
        <f>VLOOKUP(G96,Table4[[SKU-COUNTRY2]:[Price in USD]],2,FALSE)</f>
        <v>105</v>
      </c>
      <c r="J96">
        <f>VLOOKUP(G96,Sheet3!$C$82:$I$100,MATCH(E96,Sheet3!C$82:H$82,0),FALSE) * VLOOKUP(C96,Table8[],2,0)</f>
        <v>134400</v>
      </c>
      <c r="K96">
        <f>ROUND(J96*VLOOKUP(F96,Sheet3!$A$106:$C$111,2,FALSE),0)</f>
        <v>43008</v>
      </c>
      <c r="L96">
        <f t="shared" si="7"/>
        <v>91392</v>
      </c>
      <c r="M96">
        <f t="shared" si="8"/>
        <v>68</v>
      </c>
      <c r="N96" t="str">
        <f t="shared" si="11"/>
        <v>Yes</v>
      </c>
      <c r="O96">
        <f t="shared" si="12"/>
        <v>15</v>
      </c>
      <c r="P96" t="str">
        <f t="shared" si="13"/>
        <v>Valentine's Day</v>
      </c>
      <c r="Q96" t="s">
        <v>124</v>
      </c>
    </row>
    <row r="97" spans="1:17" x14ac:dyDescent="0.3">
      <c r="A97">
        <v>96</v>
      </c>
      <c r="B97" t="s">
        <v>16</v>
      </c>
      <c r="C97" s="1">
        <v>45689</v>
      </c>
      <c r="D97" t="s">
        <v>28</v>
      </c>
      <c r="E97" t="s">
        <v>34</v>
      </c>
      <c r="F97" s="2" t="s">
        <v>40</v>
      </c>
      <c r="G97" t="str">
        <f t="shared" si="9"/>
        <v>Musk 12-USA</v>
      </c>
      <c r="H97">
        <f t="shared" si="10"/>
        <v>640</v>
      </c>
      <c r="I97">
        <f>VLOOKUP(G97,Table4[[SKU-COUNTRY2]:[Price in USD]],2,FALSE)</f>
        <v>105</v>
      </c>
      <c r="J97">
        <f>VLOOKUP(G97,Sheet3!$C$82:$I$100,MATCH(E97,Sheet3!C$82:H$82,0),FALSE) * VLOOKUP(C97,Table8[],2,0)</f>
        <v>67200</v>
      </c>
      <c r="K97">
        <f>ROUND(J97*VLOOKUP(F97,Sheet3!$A$106:$C$111,2,FALSE),0)</f>
        <v>20160</v>
      </c>
      <c r="L97">
        <f t="shared" si="7"/>
        <v>47040</v>
      </c>
      <c r="M97">
        <f t="shared" si="8"/>
        <v>70</v>
      </c>
      <c r="N97" t="str">
        <f t="shared" si="11"/>
        <v>Yes</v>
      </c>
      <c r="O97">
        <f t="shared" si="12"/>
        <v>15</v>
      </c>
      <c r="P97" t="str">
        <f t="shared" si="13"/>
        <v>Valentine's Day</v>
      </c>
      <c r="Q97" t="s">
        <v>124</v>
      </c>
    </row>
    <row r="98" spans="1:17" x14ac:dyDescent="0.3">
      <c r="A98">
        <v>97</v>
      </c>
      <c r="B98" t="s">
        <v>16</v>
      </c>
      <c r="C98" s="1">
        <v>45689</v>
      </c>
      <c r="D98" t="s">
        <v>27</v>
      </c>
      <c r="E98" t="s">
        <v>32</v>
      </c>
      <c r="F98" s="2" t="s">
        <v>35</v>
      </c>
      <c r="G98" t="str">
        <f t="shared" si="9"/>
        <v>Vanilla 28-UK</v>
      </c>
      <c r="H98">
        <f t="shared" si="10"/>
        <v>2835</v>
      </c>
      <c r="I98">
        <f>VLOOKUP(G98,Table4[[SKU-COUNTRY2]:[Price in USD]],2,FALSE)</f>
        <v>101.6</v>
      </c>
      <c r="J98">
        <f>VLOOKUP(G98,Sheet3!$C$82:$I$100,MATCH(E98,Sheet3!C$82:H$82,0),FALSE) * VLOOKUP(C98,Table8[],2,0)</f>
        <v>288000</v>
      </c>
      <c r="K98">
        <f>ROUND(J98*VLOOKUP(F98,Sheet3!$A$106:$C$111,2,FALSE),0)</f>
        <v>86400</v>
      </c>
      <c r="L98">
        <f t="shared" si="7"/>
        <v>201600</v>
      </c>
      <c r="M98">
        <f t="shared" si="8"/>
        <v>70</v>
      </c>
      <c r="N98" t="str">
        <f t="shared" si="11"/>
        <v>Yes</v>
      </c>
      <c r="O98">
        <f t="shared" si="12"/>
        <v>15</v>
      </c>
      <c r="P98" t="str">
        <f t="shared" si="13"/>
        <v>Valentine's Day</v>
      </c>
      <c r="Q98" t="s">
        <v>124</v>
      </c>
    </row>
    <row r="99" spans="1:17" x14ac:dyDescent="0.3">
      <c r="A99">
        <v>98</v>
      </c>
      <c r="B99" t="s">
        <v>16</v>
      </c>
      <c r="C99" s="1">
        <v>45689</v>
      </c>
      <c r="D99" t="s">
        <v>27</v>
      </c>
      <c r="E99" t="s">
        <v>32</v>
      </c>
      <c r="F99" s="2" t="s">
        <v>36</v>
      </c>
      <c r="G99" t="str">
        <f t="shared" si="9"/>
        <v>Eden Juicy Apple 01-UK</v>
      </c>
      <c r="H99">
        <f t="shared" si="10"/>
        <v>2079</v>
      </c>
      <c r="I99">
        <f>VLOOKUP(G99,Table4[[SKU-COUNTRY2]:[Price in USD]],2,FALSE)</f>
        <v>101.6</v>
      </c>
      <c r="J99">
        <f>VLOOKUP(G99,Sheet3!$C$82:$I$100,MATCH(E99,Sheet3!C$82:H$82,0),FALSE) * VLOOKUP(C99,Table8[],2,0)</f>
        <v>211200</v>
      </c>
      <c r="K99">
        <f>ROUND(J99*VLOOKUP(F99,Sheet3!$A$106:$C$111,2,FALSE),0)</f>
        <v>65472</v>
      </c>
      <c r="L99">
        <f t="shared" si="7"/>
        <v>145728</v>
      </c>
      <c r="M99">
        <f t="shared" si="8"/>
        <v>69</v>
      </c>
      <c r="N99" t="str">
        <f t="shared" si="11"/>
        <v>Yes</v>
      </c>
      <c r="O99">
        <f t="shared" si="12"/>
        <v>15</v>
      </c>
      <c r="P99" t="str">
        <f t="shared" si="13"/>
        <v>Valentine's Day</v>
      </c>
      <c r="Q99" t="s">
        <v>124</v>
      </c>
    </row>
    <row r="100" spans="1:17" x14ac:dyDescent="0.3">
      <c r="A100">
        <v>99</v>
      </c>
      <c r="B100" t="s">
        <v>16</v>
      </c>
      <c r="C100" s="1">
        <v>45689</v>
      </c>
      <c r="D100" t="s">
        <v>27</v>
      </c>
      <c r="E100" t="s">
        <v>32</v>
      </c>
      <c r="F100" s="2" t="s">
        <v>37</v>
      </c>
      <c r="G100" t="str">
        <f t="shared" si="9"/>
        <v>Oudgasm Tobacco Oud 04-UK</v>
      </c>
      <c r="H100">
        <f t="shared" si="10"/>
        <v>1143</v>
      </c>
      <c r="I100">
        <f>VLOOKUP(G100,Table4[[SKU-COUNTRY2]:[Price in USD]],2,FALSE)</f>
        <v>151.13</v>
      </c>
      <c r="J100">
        <f>VLOOKUP(G100,Sheet3!$C$82:$I$100,MATCH(E100,Sheet3!C$82:H$82,0),FALSE) * VLOOKUP(C100,Table8[],2,0)</f>
        <v>172800</v>
      </c>
      <c r="K100">
        <f>ROUND(J100*VLOOKUP(F100,Sheet3!$A$106:$C$111,2,FALSE),0)</f>
        <v>60480</v>
      </c>
      <c r="L100">
        <f t="shared" si="7"/>
        <v>112320</v>
      </c>
      <c r="M100">
        <f t="shared" si="8"/>
        <v>65</v>
      </c>
      <c r="N100" t="str">
        <f t="shared" si="11"/>
        <v>Yes</v>
      </c>
      <c r="O100">
        <f t="shared" si="12"/>
        <v>15</v>
      </c>
      <c r="P100" t="str">
        <f t="shared" si="13"/>
        <v>Valentine's Day</v>
      </c>
      <c r="Q100" t="s">
        <v>124</v>
      </c>
    </row>
    <row r="101" spans="1:17" x14ac:dyDescent="0.3">
      <c r="A101">
        <v>100</v>
      </c>
      <c r="B101" t="s">
        <v>16</v>
      </c>
      <c r="C101" s="1">
        <v>45689</v>
      </c>
      <c r="D101" t="s">
        <v>27</v>
      </c>
      <c r="E101" t="s">
        <v>32</v>
      </c>
      <c r="F101" s="2" t="s">
        <v>38</v>
      </c>
      <c r="G101" t="str">
        <f t="shared" si="9"/>
        <v>Yum Pistachio Gelato 33-UK</v>
      </c>
      <c r="H101">
        <f t="shared" si="10"/>
        <v>1228</v>
      </c>
      <c r="I101">
        <f>VLOOKUP(G101,Table4[[SKU-COUNTRY2]:[Price in USD]],2,FALSE)</f>
        <v>101.6</v>
      </c>
      <c r="J101">
        <f>VLOOKUP(G101,Sheet3!$C$82:$I$100,MATCH(E101,Sheet3!C$82:H$82,0),FALSE) * VLOOKUP(C101,Table8[],2,0)</f>
        <v>124800</v>
      </c>
      <c r="K101">
        <f>ROUND(J101*VLOOKUP(F101,Sheet3!$A$106:$C$111,2,FALSE),0)</f>
        <v>38688</v>
      </c>
      <c r="L101">
        <f t="shared" si="7"/>
        <v>86112</v>
      </c>
      <c r="M101">
        <f t="shared" si="8"/>
        <v>69</v>
      </c>
      <c r="N101" t="str">
        <f t="shared" si="11"/>
        <v>Yes</v>
      </c>
      <c r="O101">
        <f t="shared" si="12"/>
        <v>15</v>
      </c>
      <c r="P101" t="str">
        <f t="shared" si="13"/>
        <v>Valentine's Day</v>
      </c>
      <c r="Q101" t="s">
        <v>124</v>
      </c>
    </row>
    <row r="102" spans="1:17" x14ac:dyDescent="0.3">
      <c r="A102">
        <v>101</v>
      </c>
      <c r="B102" t="s">
        <v>16</v>
      </c>
      <c r="C102" s="1">
        <v>45689</v>
      </c>
      <c r="D102" t="s">
        <v>27</v>
      </c>
      <c r="E102" t="s">
        <v>32</v>
      </c>
      <c r="F102" s="2" t="s">
        <v>39</v>
      </c>
      <c r="G102" t="str">
        <f t="shared" si="9"/>
        <v>Freedom Musk Santal 34-UK</v>
      </c>
      <c r="H102">
        <f t="shared" si="10"/>
        <v>945</v>
      </c>
      <c r="I102">
        <f>VLOOKUP(G102,Table4[[SKU-COUNTRY2]:[Price in USD]],2,FALSE)</f>
        <v>101.6</v>
      </c>
      <c r="J102">
        <f>VLOOKUP(G102,Sheet3!$C$82:$I$100,MATCH(E102,Sheet3!C$82:H$82,0),FALSE) * VLOOKUP(C102,Table8[],2,0)</f>
        <v>96000</v>
      </c>
      <c r="K102">
        <f>ROUND(J102*VLOOKUP(F102,Sheet3!$A$106:$C$111,2,FALSE),0)</f>
        <v>30720</v>
      </c>
      <c r="L102">
        <f t="shared" si="7"/>
        <v>65280</v>
      </c>
      <c r="M102">
        <f t="shared" si="8"/>
        <v>68</v>
      </c>
      <c r="N102" t="str">
        <f t="shared" si="11"/>
        <v>Yes</v>
      </c>
      <c r="O102">
        <f t="shared" si="12"/>
        <v>15</v>
      </c>
      <c r="P102" t="str">
        <f t="shared" si="13"/>
        <v>Valentine's Day</v>
      </c>
      <c r="Q102" t="s">
        <v>124</v>
      </c>
    </row>
    <row r="103" spans="1:17" x14ac:dyDescent="0.3">
      <c r="A103">
        <v>102</v>
      </c>
      <c r="B103" t="s">
        <v>16</v>
      </c>
      <c r="C103" s="1">
        <v>45689</v>
      </c>
      <c r="D103" t="s">
        <v>27</v>
      </c>
      <c r="E103" t="s">
        <v>32</v>
      </c>
      <c r="F103" s="2" t="s">
        <v>40</v>
      </c>
      <c r="G103" t="str">
        <f t="shared" si="9"/>
        <v>Musk 12-UK</v>
      </c>
      <c r="H103">
        <f t="shared" si="10"/>
        <v>661</v>
      </c>
      <c r="I103">
        <f>VLOOKUP(G103,Table4[[SKU-COUNTRY2]:[Price in USD]],2,FALSE)</f>
        <v>101.6</v>
      </c>
      <c r="J103">
        <f>VLOOKUP(G103,Sheet3!$C$82:$I$100,MATCH(E103,Sheet3!C$82:H$82,0),FALSE) * VLOOKUP(C103,Table8[],2,0)</f>
        <v>67200</v>
      </c>
      <c r="K103">
        <f>ROUND(J103*VLOOKUP(F103,Sheet3!$A$106:$C$111,2,FALSE),0)</f>
        <v>20160</v>
      </c>
      <c r="L103">
        <f t="shared" si="7"/>
        <v>47040</v>
      </c>
      <c r="M103">
        <f t="shared" si="8"/>
        <v>70</v>
      </c>
      <c r="N103" t="str">
        <f t="shared" si="11"/>
        <v>Yes</v>
      </c>
      <c r="O103">
        <f t="shared" si="12"/>
        <v>15</v>
      </c>
      <c r="P103" t="str">
        <f t="shared" si="13"/>
        <v>Valentine's Day</v>
      </c>
      <c r="Q103" t="s">
        <v>124</v>
      </c>
    </row>
    <row r="104" spans="1:17" x14ac:dyDescent="0.3">
      <c r="A104">
        <v>103</v>
      </c>
      <c r="B104" t="s">
        <v>16</v>
      </c>
      <c r="C104" s="1">
        <v>45689</v>
      </c>
      <c r="D104" t="s">
        <v>27</v>
      </c>
      <c r="E104" t="s">
        <v>31</v>
      </c>
      <c r="F104" s="2" t="s">
        <v>35</v>
      </c>
      <c r="G104" t="str">
        <f t="shared" si="9"/>
        <v>Vanilla 28-UK</v>
      </c>
      <c r="H104">
        <f t="shared" si="10"/>
        <v>1417</v>
      </c>
      <c r="I104">
        <f>VLOOKUP(G104,Table4[[SKU-COUNTRY2]:[Price in USD]],2,FALSE)</f>
        <v>101.6</v>
      </c>
      <c r="J104">
        <f>VLOOKUP(G104,Sheet3!$C$82:$I$100,MATCH(E104,Sheet3!C$82:H$82,0),FALSE) * VLOOKUP(C104,Table8[],2,0)</f>
        <v>144000</v>
      </c>
      <c r="K104">
        <f>ROUND(J104*VLOOKUP(F104,Sheet3!$A$106:$C$111,2,FALSE),0)</f>
        <v>43200</v>
      </c>
      <c r="L104">
        <f t="shared" si="7"/>
        <v>100800</v>
      </c>
      <c r="M104">
        <f t="shared" si="8"/>
        <v>70</v>
      </c>
      <c r="N104" t="str">
        <f t="shared" si="11"/>
        <v>Yes</v>
      </c>
      <c r="O104">
        <f t="shared" si="12"/>
        <v>15</v>
      </c>
      <c r="P104" t="str">
        <f t="shared" si="13"/>
        <v>Valentine's Day</v>
      </c>
      <c r="Q104" t="s">
        <v>124</v>
      </c>
    </row>
    <row r="105" spans="1:17" x14ac:dyDescent="0.3">
      <c r="A105">
        <v>104</v>
      </c>
      <c r="B105" t="s">
        <v>16</v>
      </c>
      <c r="C105" s="1">
        <v>45689</v>
      </c>
      <c r="D105" t="s">
        <v>27</v>
      </c>
      <c r="E105" t="s">
        <v>31</v>
      </c>
      <c r="F105" s="2" t="s">
        <v>36</v>
      </c>
      <c r="G105" t="str">
        <f t="shared" si="9"/>
        <v>Eden Juicy Apple 01-UK</v>
      </c>
      <c r="H105">
        <f t="shared" si="10"/>
        <v>1039</v>
      </c>
      <c r="I105">
        <f>VLOOKUP(G105,Table4[[SKU-COUNTRY2]:[Price in USD]],2,FALSE)</f>
        <v>101.6</v>
      </c>
      <c r="J105">
        <f>VLOOKUP(G105,Sheet3!$C$82:$I$100,MATCH(E105,Sheet3!C$82:H$82,0),FALSE) * VLOOKUP(C105,Table8[],2,0)</f>
        <v>105600</v>
      </c>
      <c r="K105">
        <f>ROUND(J105*VLOOKUP(F105,Sheet3!$A$106:$C$111,2,FALSE),0)</f>
        <v>32736</v>
      </c>
      <c r="L105">
        <f t="shared" si="7"/>
        <v>72864</v>
      </c>
      <c r="M105">
        <f t="shared" si="8"/>
        <v>69</v>
      </c>
      <c r="N105" t="str">
        <f t="shared" si="11"/>
        <v>Yes</v>
      </c>
      <c r="O105">
        <f t="shared" si="12"/>
        <v>15</v>
      </c>
      <c r="P105" t="str">
        <f t="shared" si="13"/>
        <v>Valentine's Day</v>
      </c>
      <c r="Q105" t="s">
        <v>124</v>
      </c>
    </row>
    <row r="106" spans="1:17" x14ac:dyDescent="0.3">
      <c r="A106">
        <v>105</v>
      </c>
      <c r="B106" t="s">
        <v>16</v>
      </c>
      <c r="C106" s="1">
        <v>45689</v>
      </c>
      <c r="D106" t="s">
        <v>27</v>
      </c>
      <c r="E106" t="s">
        <v>31</v>
      </c>
      <c r="F106" s="2" t="s">
        <v>37</v>
      </c>
      <c r="G106" t="str">
        <f t="shared" si="9"/>
        <v>Oudgasm Tobacco Oud 04-UK</v>
      </c>
      <c r="H106">
        <f t="shared" si="10"/>
        <v>572</v>
      </c>
      <c r="I106">
        <f>VLOOKUP(G106,Table4[[SKU-COUNTRY2]:[Price in USD]],2,FALSE)</f>
        <v>151.13</v>
      </c>
      <c r="J106">
        <f>VLOOKUP(G106,Sheet3!$C$82:$I$100,MATCH(E106,Sheet3!C$82:H$82,0),FALSE) * VLOOKUP(C106,Table8[],2,0)</f>
        <v>86400</v>
      </c>
      <c r="K106">
        <f>ROUND(J106*VLOOKUP(F106,Sheet3!$A$106:$C$111,2,FALSE),0)</f>
        <v>30240</v>
      </c>
      <c r="L106">
        <f t="shared" si="7"/>
        <v>56160</v>
      </c>
      <c r="M106">
        <f t="shared" si="8"/>
        <v>65</v>
      </c>
      <c r="N106" t="str">
        <f t="shared" si="11"/>
        <v>Yes</v>
      </c>
      <c r="O106">
        <f t="shared" si="12"/>
        <v>15</v>
      </c>
      <c r="P106" t="str">
        <f t="shared" si="13"/>
        <v>Valentine's Day</v>
      </c>
      <c r="Q106" t="s">
        <v>124</v>
      </c>
    </row>
    <row r="107" spans="1:17" x14ac:dyDescent="0.3">
      <c r="A107">
        <v>106</v>
      </c>
      <c r="B107" t="s">
        <v>16</v>
      </c>
      <c r="C107" s="1">
        <v>45689</v>
      </c>
      <c r="D107" t="s">
        <v>27</v>
      </c>
      <c r="E107" t="s">
        <v>31</v>
      </c>
      <c r="F107" s="2" t="s">
        <v>38</v>
      </c>
      <c r="G107" t="str">
        <f t="shared" si="9"/>
        <v>Yum Pistachio Gelato 33-UK</v>
      </c>
      <c r="H107">
        <f t="shared" si="10"/>
        <v>614</v>
      </c>
      <c r="I107">
        <f>VLOOKUP(G107,Table4[[SKU-COUNTRY2]:[Price in USD]],2,FALSE)</f>
        <v>101.6</v>
      </c>
      <c r="J107">
        <f>VLOOKUP(G107,Sheet3!$C$82:$I$100,MATCH(E107,Sheet3!C$82:H$82,0),FALSE) * VLOOKUP(C107,Table8[],2,0)</f>
        <v>62400</v>
      </c>
      <c r="K107">
        <f>ROUND(J107*VLOOKUP(F107,Sheet3!$A$106:$C$111,2,FALSE),0)</f>
        <v>19344</v>
      </c>
      <c r="L107">
        <f t="shared" si="7"/>
        <v>43056</v>
      </c>
      <c r="M107">
        <f t="shared" si="8"/>
        <v>69</v>
      </c>
      <c r="N107" t="str">
        <f t="shared" si="11"/>
        <v>Yes</v>
      </c>
      <c r="O107">
        <f t="shared" si="12"/>
        <v>15</v>
      </c>
      <c r="P107" t="str">
        <f t="shared" si="13"/>
        <v>Valentine's Day</v>
      </c>
      <c r="Q107" t="s">
        <v>124</v>
      </c>
    </row>
    <row r="108" spans="1:17" x14ac:dyDescent="0.3">
      <c r="A108">
        <v>107</v>
      </c>
      <c r="B108" t="s">
        <v>16</v>
      </c>
      <c r="C108" s="1">
        <v>45689</v>
      </c>
      <c r="D108" t="s">
        <v>27</v>
      </c>
      <c r="E108" t="s">
        <v>31</v>
      </c>
      <c r="F108" s="2" t="s">
        <v>39</v>
      </c>
      <c r="G108" t="str">
        <f t="shared" si="9"/>
        <v>Freedom Musk Santal 34-UK</v>
      </c>
      <c r="H108">
        <f t="shared" si="10"/>
        <v>472</v>
      </c>
      <c r="I108">
        <f>VLOOKUP(G108,Table4[[SKU-COUNTRY2]:[Price in USD]],2,FALSE)</f>
        <v>101.6</v>
      </c>
      <c r="J108">
        <f>VLOOKUP(G108,Sheet3!$C$82:$I$100,MATCH(E108,Sheet3!C$82:H$82,0),FALSE) * VLOOKUP(C108,Table8[],2,0)</f>
        <v>48000</v>
      </c>
      <c r="K108">
        <f>ROUND(J108*VLOOKUP(F108,Sheet3!$A$106:$C$111,2,FALSE),0)</f>
        <v>15360</v>
      </c>
      <c r="L108">
        <f t="shared" si="7"/>
        <v>32640</v>
      </c>
      <c r="M108">
        <f t="shared" si="8"/>
        <v>68</v>
      </c>
      <c r="N108" t="str">
        <f t="shared" si="11"/>
        <v>Yes</v>
      </c>
      <c r="O108">
        <f t="shared" si="12"/>
        <v>15</v>
      </c>
      <c r="P108" t="str">
        <f t="shared" si="13"/>
        <v>Valentine's Day</v>
      </c>
      <c r="Q108" t="s">
        <v>124</v>
      </c>
    </row>
    <row r="109" spans="1:17" x14ac:dyDescent="0.3">
      <c r="A109">
        <v>108</v>
      </c>
      <c r="B109" t="s">
        <v>16</v>
      </c>
      <c r="C109" s="1">
        <v>45689</v>
      </c>
      <c r="D109" t="s">
        <v>27</v>
      </c>
      <c r="E109" t="s">
        <v>31</v>
      </c>
      <c r="F109" s="2" t="s">
        <v>40</v>
      </c>
      <c r="G109" t="str">
        <f t="shared" si="9"/>
        <v>Musk 12-UK</v>
      </c>
      <c r="H109">
        <f t="shared" si="10"/>
        <v>331</v>
      </c>
      <c r="I109">
        <f>VLOOKUP(G109,Table4[[SKU-COUNTRY2]:[Price in USD]],2,FALSE)</f>
        <v>101.6</v>
      </c>
      <c r="J109">
        <f>VLOOKUP(G109,Sheet3!$C$82:$I$100,MATCH(E109,Sheet3!C$82:H$82,0),FALSE) * VLOOKUP(C109,Table8[],2,0)</f>
        <v>33600</v>
      </c>
      <c r="K109">
        <f>ROUND(J109*VLOOKUP(F109,Sheet3!$A$106:$C$111,2,FALSE),0)</f>
        <v>10080</v>
      </c>
      <c r="L109">
        <f t="shared" si="7"/>
        <v>23520</v>
      </c>
      <c r="M109">
        <f t="shared" si="8"/>
        <v>70</v>
      </c>
      <c r="N109" t="str">
        <f t="shared" si="11"/>
        <v>Yes</v>
      </c>
      <c r="O109">
        <f t="shared" si="12"/>
        <v>15</v>
      </c>
      <c r="P109" t="str">
        <f t="shared" si="13"/>
        <v>Valentine's Day</v>
      </c>
      <c r="Q109" t="s">
        <v>124</v>
      </c>
    </row>
    <row r="110" spans="1:17" x14ac:dyDescent="0.3">
      <c r="A110">
        <v>109</v>
      </c>
      <c r="B110" t="s">
        <v>16</v>
      </c>
      <c r="C110" s="1">
        <v>45689</v>
      </c>
      <c r="D110" t="s">
        <v>27</v>
      </c>
      <c r="E110" t="s">
        <v>33</v>
      </c>
      <c r="F110" s="2" t="s">
        <v>35</v>
      </c>
      <c r="G110" t="str">
        <f t="shared" si="9"/>
        <v>Vanilla 28-UK</v>
      </c>
      <c r="H110">
        <f t="shared" si="10"/>
        <v>1063</v>
      </c>
      <c r="I110">
        <f>VLOOKUP(G110,Table4[[SKU-COUNTRY2]:[Price in USD]],2,FALSE)</f>
        <v>101.6</v>
      </c>
      <c r="J110">
        <f>VLOOKUP(G110,Sheet3!$C$82:$I$100,MATCH(E110,Sheet3!C$82:H$82,0),FALSE) * VLOOKUP(C110,Table8[],2,0)</f>
        <v>108000</v>
      </c>
      <c r="K110">
        <f>ROUND(J110*VLOOKUP(F110,Sheet3!$A$106:$C$111,2,FALSE),0)</f>
        <v>32400</v>
      </c>
      <c r="L110">
        <f t="shared" si="7"/>
        <v>75600</v>
      </c>
      <c r="M110">
        <f t="shared" si="8"/>
        <v>70</v>
      </c>
      <c r="N110" t="str">
        <f t="shared" si="11"/>
        <v>Yes</v>
      </c>
      <c r="O110">
        <f t="shared" si="12"/>
        <v>15</v>
      </c>
      <c r="P110" t="str">
        <f t="shared" si="13"/>
        <v>Valentine's Day</v>
      </c>
      <c r="Q110" t="s">
        <v>124</v>
      </c>
    </row>
    <row r="111" spans="1:17" x14ac:dyDescent="0.3">
      <c r="A111">
        <v>110</v>
      </c>
      <c r="B111" t="s">
        <v>16</v>
      </c>
      <c r="C111" s="1">
        <v>45689</v>
      </c>
      <c r="D111" t="s">
        <v>27</v>
      </c>
      <c r="E111" t="s">
        <v>33</v>
      </c>
      <c r="F111" s="2" t="s">
        <v>36</v>
      </c>
      <c r="G111" t="str">
        <f t="shared" si="9"/>
        <v>Eden Juicy Apple 01-UK</v>
      </c>
      <c r="H111">
        <f t="shared" si="10"/>
        <v>780</v>
      </c>
      <c r="I111">
        <f>VLOOKUP(G111,Table4[[SKU-COUNTRY2]:[Price in USD]],2,FALSE)</f>
        <v>101.6</v>
      </c>
      <c r="J111">
        <f>VLOOKUP(G111,Sheet3!$C$82:$I$100,MATCH(E111,Sheet3!C$82:H$82,0),FALSE) * VLOOKUP(C111,Table8[],2,0)</f>
        <v>79200</v>
      </c>
      <c r="K111">
        <f>ROUND(J111*VLOOKUP(F111,Sheet3!$A$106:$C$111,2,FALSE),0)</f>
        <v>24552</v>
      </c>
      <c r="L111">
        <f t="shared" si="7"/>
        <v>54648</v>
      </c>
      <c r="M111">
        <f t="shared" si="8"/>
        <v>69</v>
      </c>
      <c r="N111" t="str">
        <f t="shared" si="11"/>
        <v>Yes</v>
      </c>
      <c r="O111">
        <f t="shared" si="12"/>
        <v>15</v>
      </c>
      <c r="P111" t="str">
        <f t="shared" si="13"/>
        <v>Valentine's Day</v>
      </c>
      <c r="Q111" t="s">
        <v>124</v>
      </c>
    </row>
    <row r="112" spans="1:17" x14ac:dyDescent="0.3">
      <c r="A112">
        <v>111</v>
      </c>
      <c r="B112" t="s">
        <v>16</v>
      </c>
      <c r="C112" s="1">
        <v>45689</v>
      </c>
      <c r="D112" t="s">
        <v>27</v>
      </c>
      <c r="E112" t="s">
        <v>33</v>
      </c>
      <c r="F112" s="2" t="s">
        <v>37</v>
      </c>
      <c r="G112" t="str">
        <f t="shared" si="9"/>
        <v>Oudgasm Tobacco Oud 04-UK</v>
      </c>
      <c r="H112">
        <f t="shared" si="10"/>
        <v>429</v>
      </c>
      <c r="I112">
        <f>VLOOKUP(G112,Table4[[SKU-COUNTRY2]:[Price in USD]],2,FALSE)</f>
        <v>151.13</v>
      </c>
      <c r="J112">
        <f>VLOOKUP(G112,Sheet3!$C$82:$I$100,MATCH(E112,Sheet3!C$82:H$82,0),FALSE) * VLOOKUP(C112,Table8[],2,0)</f>
        <v>64800</v>
      </c>
      <c r="K112">
        <f>ROUND(J112*VLOOKUP(F112,Sheet3!$A$106:$C$111,2,FALSE),0)</f>
        <v>22680</v>
      </c>
      <c r="L112">
        <f t="shared" si="7"/>
        <v>42120</v>
      </c>
      <c r="M112">
        <f t="shared" si="8"/>
        <v>65</v>
      </c>
      <c r="N112" t="str">
        <f t="shared" si="11"/>
        <v>Yes</v>
      </c>
      <c r="O112">
        <f t="shared" si="12"/>
        <v>15</v>
      </c>
      <c r="P112" t="str">
        <f t="shared" si="13"/>
        <v>Valentine's Day</v>
      </c>
      <c r="Q112" t="s">
        <v>124</v>
      </c>
    </row>
    <row r="113" spans="1:17" x14ac:dyDescent="0.3">
      <c r="A113">
        <v>112</v>
      </c>
      <c r="B113" t="s">
        <v>16</v>
      </c>
      <c r="C113" s="1">
        <v>45689</v>
      </c>
      <c r="D113" t="s">
        <v>27</v>
      </c>
      <c r="E113" t="s">
        <v>33</v>
      </c>
      <c r="F113" s="2" t="s">
        <v>38</v>
      </c>
      <c r="G113" t="str">
        <f t="shared" si="9"/>
        <v>Yum Pistachio Gelato 33-UK</v>
      </c>
      <c r="H113">
        <f t="shared" si="10"/>
        <v>461</v>
      </c>
      <c r="I113">
        <f>VLOOKUP(G113,Table4[[SKU-COUNTRY2]:[Price in USD]],2,FALSE)</f>
        <v>101.6</v>
      </c>
      <c r="J113">
        <f>VLOOKUP(G113,Sheet3!$C$82:$I$100,MATCH(E113,Sheet3!C$82:H$82,0),FALSE) * VLOOKUP(C113,Table8[],2,0)</f>
        <v>46800</v>
      </c>
      <c r="K113">
        <f>ROUND(J113*VLOOKUP(F113,Sheet3!$A$106:$C$111,2,FALSE),0)</f>
        <v>14508</v>
      </c>
      <c r="L113">
        <f t="shared" si="7"/>
        <v>32292</v>
      </c>
      <c r="M113">
        <f t="shared" si="8"/>
        <v>69</v>
      </c>
      <c r="N113" t="str">
        <f t="shared" si="11"/>
        <v>Yes</v>
      </c>
      <c r="O113">
        <f t="shared" si="12"/>
        <v>15</v>
      </c>
      <c r="P113" t="str">
        <f t="shared" si="13"/>
        <v>Valentine's Day</v>
      </c>
      <c r="Q113" t="s">
        <v>124</v>
      </c>
    </row>
    <row r="114" spans="1:17" x14ac:dyDescent="0.3">
      <c r="A114">
        <v>113</v>
      </c>
      <c r="B114" t="s">
        <v>16</v>
      </c>
      <c r="C114" s="1">
        <v>45689</v>
      </c>
      <c r="D114" t="s">
        <v>27</v>
      </c>
      <c r="E114" t="s">
        <v>33</v>
      </c>
      <c r="F114" s="2" t="s">
        <v>39</v>
      </c>
      <c r="G114" t="str">
        <f t="shared" si="9"/>
        <v>Freedom Musk Santal 34-UK</v>
      </c>
      <c r="H114">
        <f t="shared" si="10"/>
        <v>354</v>
      </c>
      <c r="I114">
        <f>VLOOKUP(G114,Table4[[SKU-COUNTRY2]:[Price in USD]],2,FALSE)</f>
        <v>101.6</v>
      </c>
      <c r="J114">
        <f>VLOOKUP(G114,Sheet3!$C$82:$I$100,MATCH(E114,Sheet3!C$82:H$82,0),FALSE) * VLOOKUP(C114,Table8[],2,0)</f>
        <v>36000</v>
      </c>
      <c r="K114">
        <f>ROUND(J114*VLOOKUP(F114,Sheet3!$A$106:$C$111,2,FALSE),0)</f>
        <v>11520</v>
      </c>
      <c r="L114">
        <f t="shared" si="7"/>
        <v>24480</v>
      </c>
      <c r="M114">
        <f t="shared" si="8"/>
        <v>68</v>
      </c>
      <c r="N114" t="str">
        <f t="shared" si="11"/>
        <v>Yes</v>
      </c>
      <c r="O114">
        <f t="shared" si="12"/>
        <v>15</v>
      </c>
      <c r="P114" t="str">
        <f t="shared" si="13"/>
        <v>Valentine's Day</v>
      </c>
      <c r="Q114" t="s">
        <v>124</v>
      </c>
    </row>
    <row r="115" spans="1:17" x14ac:dyDescent="0.3">
      <c r="A115">
        <v>114</v>
      </c>
      <c r="B115" t="s">
        <v>16</v>
      </c>
      <c r="C115" s="1">
        <v>45689</v>
      </c>
      <c r="D115" t="s">
        <v>27</v>
      </c>
      <c r="E115" t="s">
        <v>33</v>
      </c>
      <c r="F115" s="2" t="s">
        <v>40</v>
      </c>
      <c r="G115" t="str">
        <f t="shared" si="9"/>
        <v>Musk 12-UK</v>
      </c>
      <c r="H115">
        <f t="shared" si="10"/>
        <v>248</v>
      </c>
      <c r="I115">
        <f>VLOOKUP(G115,Table4[[SKU-COUNTRY2]:[Price in USD]],2,FALSE)</f>
        <v>101.6</v>
      </c>
      <c r="J115">
        <f>VLOOKUP(G115,Sheet3!$C$82:$I$100,MATCH(E115,Sheet3!C$82:H$82,0),FALSE) * VLOOKUP(C115,Table8[],2,0)</f>
        <v>25200.000000000004</v>
      </c>
      <c r="K115">
        <f>ROUND(J115*VLOOKUP(F115,Sheet3!$A$106:$C$111,2,FALSE),0)</f>
        <v>7560</v>
      </c>
      <c r="L115">
        <f t="shared" si="7"/>
        <v>17640.000000000004</v>
      </c>
      <c r="M115">
        <f t="shared" si="8"/>
        <v>70</v>
      </c>
      <c r="N115" t="str">
        <f t="shared" si="11"/>
        <v>Yes</v>
      </c>
      <c r="O115">
        <f t="shared" si="12"/>
        <v>15</v>
      </c>
      <c r="P115" t="str">
        <f t="shared" si="13"/>
        <v>Valentine's Day</v>
      </c>
      <c r="Q115" t="s">
        <v>124</v>
      </c>
    </row>
    <row r="116" spans="1:17" x14ac:dyDescent="0.3">
      <c r="A116">
        <v>115</v>
      </c>
      <c r="B116" t="s">
        <v>16</v>
      </c>
      <c r="C116" s="1">
        <v>45689</v>
      </c>
      <c r="D116" t="s">
        <v>27</v>
      </c>
      <c r="E116" t="s">
        <v>34</v>
      </c>
      <c r="F116" s="2" t="s">
        <v>35</v>
      </c>
      <c r="G116" t="str">
        <f t="shared" si="9"/>
        <v>Vanilla 28-UK</v>
      </c>
      <c r="H116">
        <f t="shared" si="10"/>
        <v>1772</v>
      </c>
      <c r="I116">
        <f>VLOOKUP(G116,Table4[[SKU-COUNTRY2]:[Price in USD]],2,FALSE)</f>
        <v>101.6</v>
      </c>
      <c r="J116">
        <f>VLOOKUP(G116,Sheet3!$C$82:$I$100,MATCH(E116,Sheet3!C$82:H$82,0),FALSE) * VLOOKUP(C116,Table8[],2,0)</f>
        <v>180000</v>
      </c>
      <c r="K116">
        <f>ROUND(J116*VLOOKUP(F116,Sheet3!$A$106:$C$111,2,FALSE),0)</f>
        <v>54000</v>
      </c>
      <c r="L116">
        <f t="shared" si="7"/>
        <v>126000</v>
      </c>
      <c r="M116">
        <f t="shared" si="8"/>
        <v>70</v>
      </c>
      <c r="N116" t="str">
        <f t="shared" si="11"/>
        <v>Yes</v>
      </c>
      <c r="O116">
        <f t="shared" si="12"/>
        <v>15</v>
      </c>
      <c r="P116" t="str">
        <f t="shared" si="13"/>
        <v>Valentine's Day</v>
      </c>
      <c r="Q116" t="s">
        <v>124</v>
      </c>
    </row>
    <row r="117" spans="1:17" x14ac:dyDescent="0.3">
      <c r="A117">
        <v>116</v>
      </c>
      <c r="B117" t="s">
        <v>16</v>
      </c>
      <c r="C117" s="1">
        <v>45689</v>
      </c>
      <c r="D117" t="s">
        <v>27</v>
      </c>
      <c r="E117" t="s">
        <v>34</v>
      </c>
      <c r="F117" s="2" t="s">
        <v>36</v>
      </c>
      <c r="G117" t="str">
        <f t="shared" si="9"/>
        <v>Eden Juicy Apple 01-UK</v>
      </c>
      <c r="H117">
        <f t="shared" si="10"/>
        <v>1299</v>
      </c>
      <c r="I117">
        <f>VLOOKUP(G117,Table4[[SKU-COUNTRY2]:[Price in USD]],2,FALSE)</f>
        <v>101.6</v>
      </c>
      <c r="J117">
        <f>VLOOKUP(G117,Sheet3!$C$82:$I$100,MATCH(E117,Sheet3!C$82:H$82,0),FALSE) * VLOOKUP(C117,Table8[],2,0)</f>
        <v>132000</v>
      </c>
      <c r="K117">
        <f>ROUND(J117*VLOOKUP(F117,Sheet3!$A$106:$C$111,2,FALSE),0)</f>
        <v>40920</v>
      </c>
      <c r="L117">
        <f t="shared" si="7"/>
        <v>91080</v>
      </c>
      <c r="M117">
        <f t="shared" si="8"/>
        <v>69</v>
      </c>
      <c r="N117" t="str">
        <f t="shared" si="11"/>
        <v>Yes</v>
      </c>
      <c r="O117">
        <f t="shared" si="12"/>
        <v>15</v>
      </c>
      <c r="P117" t="str">
        <f t="shared" si="13"/>
        <v>Valentine's Day</v>
      </c>
      <c r="Q117" t="s">
        <v>124</v>
      </c>
    </row>
    <row r="118" spans="1:17" x14ac:dyDescent="0.3">
      <c r="A118">
        <v>117</v>
      </c>
      <c r="B118" t="s">
        <v>16</v>
      </c>
      <c r="C118" s="1">
        <v>45689</v>
      </c>
      <c r="D118" t="s">
        <v>27</v>
      </c>
      <c r="E118" t="s">
        <v>34</v>
      </c>
      <c r="F118" s="2" t="s">
        <v>37</v>
      </c>
      <c r="G118" t="str">
        <f t="shared" si="9"/>
        <v>Oudgasm Tobacco Oud 04-UK</v>
      </c>
      <c r="H118">
        <f t="shared" si="10"/>
        <v>715</v>
      </c>
      <c r="I118">
        <f>VLOOKUP(G118,Table4[[SKU-COUNTRY2]:[Price in USD]],2,FALSE)</f>
        <v>151.13</v>
      </c>
      <c r="J118">
        <f>VLOOKUP(G118,Sheet3!$C$82:$I$100,MATCH(E118,Sheet3!C$82:H$82,0),FALSE) * VLOOKUP(C118,Table8[],2,0)</f>
        <v>108000</v>
      </c>
      <c r="K118">
        <f>ROUND(J118*VLOOKUP(F118,Sheet3!$A$106:$C$111,2,FALSE),0)</f>
        <v>37800</v>
      </c>
      <c r="L118">
        <f t="shared" si="7"/>
        <v>70200</v>
      </c>
      <c r="M118">
        <f t="shared" si="8"/>
        <v>65</v>
      </c>
      <c r="N118" t="str">
        <f t="shared" si="11"/>
        <v>Yes</v>
      </c>
      <c r="O118">
        <f t="shared" si="12"/>
        <v>15</v>
      </c>
      <c r="P118" t="str">
        <f t="shared" si="13"/>
        <v>Valentine's Day</v>
      </c>
      <c r="Q118" t="s">
        <v>124</v>
      </c>
    </row>
    <row r="119" spans="1:17" x14ac:dyDescent="0.3">
      <c r="A119">
        <v>118</v>
      </c>
      <c r="B119" t="s">
        <v>16</v>
      </c>
      <c r="C119" s="1">
        <v>45689</v>
      </c>
      <c r="D119" t="s">
        <v>27</v>
      </c>
      <c r="E119" t="s">
        <v>34</v>
      </c>
      <c r="F119" s="2" t="s">
        <v>38</v>
      </c>
      <c r="G119" t="str">
        <f t="shared" si="9"/>
        <v>Yum Pistachio Gelato 33-UK</v>
      </c>
      <c r="H119">
        <f t="shared" si="10"/>
        <v>768</v>
      </c>
      <c r="I119">
        <f>VLOOKUP(G119,Table4[[SKU-COUNTRY2]:[Price in USD]],2,FALSE)</f>
        <v>101.6</v>
      </c>
      <c r="J119">
        <f>VLOOKUP(G119,Sheet3!$C$82:$I$100,MATCH(E119,Sheet3!C$82:H$82,0),FALSE) * VLOOKUP(C119,Table8[],2,0)</f>
        <v>78000</v>
      </c>
      <c r="K119">
        <f>ROUND(J119*VLOOKUP(F119,Sheet3!$A$106:$C$111,2,FALSE),0)</f>
        <v>24180</v>
      </c>
      <c r="L119">
        <f t="shared" si="7"/>
        <v>53820</v>
      </c>
      <c r="M119">
        <f t="shared" si="8"/>
        <v>69</v>
      </c>
      <c r="N119" t="str">
        <f t="shared" si="11"/>
        <v>Yes</v>
      </c>
      <c r="O119">
        <f t="shared" si="12"/>
        <v>15</v>
      </c>
      <c r="P119" t="str">
        <f t="shared" si="13"/>
        <v>Valentine's Day</v>
      </c>
      <c r="Q119" t="s">
        <v>124</v>
      </c>
    </row>
    <row r="120" spans="1:17" x14ac:dyDescent="0.3">
      <c r="A120">
        <v>119</v>
      </c>
      <c r="B120" t="s">
        <v>16</v>
      </c>
      <c r="C120" s="1">
        <v>45689</v>
      </c>
      <c r="D120" t="s">
        <v>27</v>
      </c>
      <c r="E120" t="s">
        <v>34</v>
      </c>
      <c r="F120" s="2" t="s">
        <v>39</v>
      </c>
      <c r="G120" t="str">
        <f t="shared" si="9"/>
        <v>Freedom Musk Santal 34-UK</v>
      </c>
      <c r="H120">
        <f t="shared" si="10"/>
        <v>591</v>
      </c>
      <c r="I120">
        <f>VLOOKUP(G120,Table4[[SKU-COUNTRY2]:[Price in USD]],2,FALSE)</f>
        <v>101.6</v>
      </c>
      <c r="J120">
        <f>VLOOKUP(G120,Sheet3!$C$82:$I$100,MATCH(E120,Sheet3!C$82:H$82,0),FALSE) * VLOOKUP(C120,Table8[],2,0)</f>
        <v>60000</v>
      </c>
      <c r="K120">
        <f>ROUND(J120*VLOOKUP(F120,Sheet3!$A$106:$C$111,2,FALSE),0)</f>
        <v>19200</v>
      </c>
      <c r="L120">
        <f t="shared" si="7"/>
        <v>40800</v>
      </c>
      <c r="M120">
        <f t="shared" si="8"/>
        <v>68</v>
      </c>
      <c r="N120" t="str">
        <f t="shared" si="11"/>
        <v>Yes</v>
      </c>
      <c r="O120">
        <f t="shared" si="12"/>
        <v>15</v>
      </c>
      <c r="P120" t="str">
        <f t="shared" si="13"/>
        <v>Valentine's Day</v>
      </c>
      <c r="Q120" t="s">
        <v>124</v>
      </c>
    </row>
    <row r="121" spans="1:17" x14ac:dyDescent="0.3">
      <c r="A121">
        <v>120</v>
      </c>
      <c r="B121" t="s">
        <v>16</v>
      </c>
      <c r="C121" s="1">
        <v>45689</v>
      </c>
      <c r="D121" t="s">
        <v>27</v>
      </c>
      <c r="E121" t="s">
        <v>34</v>
      </c>
      <c r="F121" s="2" t="s">
        <v>40</v>
      </c>
      <c r="G121" t="str">
        <f t="shared" si="9"/>
        <v>Musk 12-UK</v>
      </c>
      <c r="H121">
        <f t="shared" si="10"/>
        <v>413</v>
      </c>
      <c r="I121">
        <f>VLOOKUP(G121,Table4[[SKU-COUNTRY2]:[Price in USD]],2,FALSE)</f>
        <v>101.6</v>
      </c>
      <c r="J121">
        <f>VLOOKUP(G121,Sheet3!$C$82:$I$100,MATCH(E121,Sheet3!C$82:H$82,0),FALSE) * VLOOKUP(C121,Table8[],2,0)</f>
        <v>42000</v>
      </c>
      <c r="K121">
        <f>ROUND(J121*VLOOKUP(F121,Sheet3!$A$106:$C$111,2,FALSE),0)</f>
        <v>12600</v>
      </c>
      <c r="L121">
        <f t="shared" si="7"/>
        <v>29400</v>
      </c>
      <c r="M121">
        <f t="shared" si="8"/>
        <v>70</v>
      </c>
      <c r="N121" t="str">
        <f t="shared" si="11"/>
        <v>Yes</v>
      </c>
      <c r="O121">
        <f t="shared" si="12"/>
        <v>15</v>
      </c>
      <c r="P121" t="str">
        <f t="shared" si="13"/>
        <v>Valentine's Day</v>
      </c>
      <c r="Q121" t="s">
        <v>124</v>
      </c>
    </row>
    <row r="122" spans="1:17" x14ac:dyDescent="0.3">
      <c r="A122">
        <v>121</v>
      </c>
      <c r="B122" t="s">
        <v>16</v>
      </c>
      <c r="C122" s="1">
        <v>45689</v>
      </c>
      <c r="D122" t="s">
        <v>29</v>
      </c>
      <c r="E122" t="s">
        <v>32</v>
      </c>
      <c r="F122" s="2" t="s">
        <v>35</v>
      </c>
      <c r="G122" t="str">
        <f t="shared" si="9"/>
        <v>Vanilla 28-UAE</v>
      </c>
      <c r="H122">
        <f t="shared" si="10"/>
        <v>2381</v>
      </c>
      <c r="I122">
        <f>VLOOKUP(G122,Table4[[SKU-COUNTRY2]:[Price in USD]],2,FALSE)</f>
        <v>113.4</v>
      </c>
      <c r="J122">
        <f>VLOOKUP(G122,Sheet3!$C$82:$I$100,MATCH(E122,Sheet3!C$82:H$82,0),FALSE) * VLOOKUP(C122,Table8[],2,0)</f>
        <v>270000</v>
      </c>
      <c r="K122">
        <f>ROUND(J122*VLOOKUP(F122,Sheet3!$A$106:$C$111,2,FALSE),0)</f>
        <v>81000</v>
      </c>
      <c r="L122">
        <f t="shared" si="7"/>
        <v>189000</v>
      </c>
      <c r="M122">
        <f t="shared" si="8"/>
        <v>70</v>
      </c>
      <c r="N122" t="str">
        <f t="shared" si="11"/>
        <v>Yes</v>
      </c>
      <c r="O122">
        <f t="shared" si="12"/>
        <v>15</v>
      </c>
      <c r="P122" t="str">
        <f t="shared" si="13"/>
        <v>Valentine's Day</v>
      </c>
      <c r="Q122" t="s">
        <v>124</v>
      </c>
    </row>
    <row r="123" spans="1:17" x14ac:dyDescent="0.3">
      <c r="A123">
        <v>122</v>
      </c>
      <c r="B123" t="s">
        <v>16</v>
      </c>
      <c r="C123" s="1">
        <v>45689</v>
      </c>
      <c r="D123" t="s">
        <v>29</v>
      </c>
      <c r="E123" t="s">
        <v>32</v>
      </c>
      <c r="F123" s="2" t="s">
        <v>36</v>
      </c>
      <c r="G123" t="str">
        <f t="shared" si="9"/>
        <v>Eden Juicy Apple 01-UAE</v>
      </c>
      <c r="H123">
        <f t="shared" si="10"/>
        <v>1786</v>
      </c>
      <c r="I123">
        <f>VLOOKUP(G123,Table4[[SKU-COUNTRY2]:[Price in USD]],2,FALSE)</f>
        <v>113.4</v>
      </c>
      <c r="J123">
        <f>VLOOKUP(G123,Sheet3!$C$82:$I$100,MATCH(E123,Sheet3!C$82:H$82,0),FALSE) * VLOOKUP(C123,Table8[],2,0)</f>
        <v>202500</v>
      </c>
      <c r="K123">
        <f>ROUND(J123*VLOOKUP(F123,Sheet3!$A$106:$C$111,2,FALSE),0)</f>
        <v>62775</v>
      </c>
      <c r="L123">
        <f t="shared" si="7"/>
        <v>139725</v>
      </c>
      <c r="M123">
        <f t="shared" si="8"/>
        <v>69</v>
      </c>
      <c r="N123" t="str">
        <f t="shared" si="11"/>
        <v>Yes</v>
      </c>
      <c r="O123">
        <f t="shared" si="12"/>
        <v>15</v>
      </c>
      <c r="P123" t="str">
        <f t="shared" si="13"/>
        <v>Valentine's Day</v>
      </c>
      <c r="Q123" t="s">
        <v>124</v>
      </c>
    </row>
    <row r="124" spans="1:17" x14ac:dyDescent="0.3">
      <c r="A124">
        <v>123</v>
      </c>
      <c r="B124" t="s">
        <v>16</v>
      </c>
      <c r="C124" s="1">
        <v>45689</v>
      </c>
      <c r="D124" t="s">
        <v>29</v>
      </c>
      <c r="E124" t="s">
        <v>32</v>
      </c>
      <c r="F124" s="2" t="s">
        <v>37</v>
      </c>
      <c r="G124" t="str">
        <f t="shared" si="9"/>
        <v>Oudgasm Tobacco Oud 04-UAE</v>
      </c>
      <c r="H124">
        <f t="shared" si="10"/>
        <v>3176</v>
      </c>
      <c r="I124">
        <f>VLOOKUP(G124,Table4[[SKU-COUNTRY2]:[Price in USD]],2,FALSE)</f>
        <v>148.77000000000001</v>
      </c>
      <c r="J124">
        <f>VLOOKUP(G124,Sheet3!$C$82:$I$100,MATCH(E124,Sheet3!C$82:H$82,0),FALSE) * VLOOKUP(C124,Table8[],2,0)</f>
        <v>472500</v>
      </c>
      <c r="K124">
        <f>ROUND(J124*VLOOKUP(F124,Sheet3!$A$106:$C$111,2,FALSE),0)</f>
        <v>165375</v>
      </c>
      <c r="L124">
        <f t="shared" si="7"/>
        <v>307125</v>
      </c>
      <c r="M124">
        <f t="shared" si="8"/>
        <v>65</v>
      </c>
      <c r="N124" t="str">
        <f t="shared" si="11"/>
        <v>Yes</v>
      </c>
      <c r="O124">
        <f t="shared" si="12"/>
        <v>15</v>
      </c>
      <c r="P124" t="str">
        <f t="shared" si="13"/>
        <v>Valentine's Day</v>
      </c>
      <c r="Q124" t="s">
        <v>124</v>
      </c>
    </row>
    <row r="125" spans="1:17" x14ac:dyDescent="0.3">
      <c r="A125">
        <v>124</v>
      </c>
      <c r="B125" t="s">
        <v>16</v>
      </c>
      <c r="C125" s="1">
        <v>45689</v>
      </c>
      <c r="D125" t="s">
        <v>29</v>
      </c>
      <c r="E125" t="s">
        <v>32</v>
      </c>
      <c r="F125" s="2" t="s">
        <v>38</v>
      </c>
      <c r="G125" t="str">
        <f t="shared" si="9"/>
        <v>Yum Pistachio Gelato 33-UAE</v>
      </c>
      <c r="H125">
        <f t="shared" si="10"/>
        <v>1429</v>
      </c>
      <c r="I125">
        <f>VLOOKUP(G125,Table4[[SKU-COUNTRY2]:[Price in USD]],2,FALSE)</f>
        <v>113.4</v>
      </c>
      <c r="J125">
        <f>VLOOKUP(G125,Sheet3!$C$82:$I$100,MATCH(E125,Sheet3!C$82:H$82,0),FALSE) * VLOOKUP(C125,Table8[],2,0)</f>
        <v>162000</v>
      </c>
      <c r="K125">
        <f>ROUND(J125*VLOOKUP(F125,Sheet3!$A$106:$C$111,2,FALSE),0)</f>
        <v>50220</v>
      </c>
      <c r="L125">
        <f t="shared" si="7"/>
        <v>111780</v>
      </c>
      <c r="M125">
        <f t="shared" si="8"/>
        <v>69</v>
      </c>
      <c r="N125" t="str">
        <f t="shared" si="11"/>
        <v>Yes</v>
      </c>
      <c r="O125">
        <f t="shared" si="12"/>
        <v>15</v>
      </c>
      <c r="P125" t="str">
        <f t="shared" si="13"/>
        <v>Valentine's Day</v>
      </c>
      <c r="Q125" t="s">
        <v>124</v>
      </c>
    </row>
    <row r="126" spans="1:17" x14ac:dyDescent="0.3">
      <c r="A126">
        <v>125</v>
      </c>
      <c r="B126" t="s">
        <v>16</v>
      </c>
      <c r="C126" s="1">
        <v>45689</v>
      </c>
      <c r="D126" t="s">
        <v>29</v>
      </c>
      <c r="E126" t="s">
        <v>32</v>
      </c>
      <c r="F126" s="2" t="s">
        <v>39</v>
      </c>
      <c r="G126" t="str">
        <f t="shared" si="9"/>
        <v>Freedom Musk Santal 34-UAE</v>
      </c>
      <c r="H126">
        <f t="shared" si="10"/>
        <v>1190</v>
      </c>
      <c r="I126">
        <f>VLOOKUP(G126,Table4[[SKU-COUNTRY2]:[Price in USD]],2,FALSE)</f>
        <v>113.4</v>
      </c>
      <c r="J126">
        <f>VLOOKUP(G126,Sheet3!$C$82:$I$100,MATCH(E126,Sheet3!C$82:H$82,0),FALSE) * VLOOKUP(C126,Table8[],2,0)</f>
        <v>135000</v>
      </c>
      <c r="K126">
        <f>ROUND(J126*VLOOKUP(F126,Sheet3!$A$106:$C$111,2,FALSE),0)</f>
        <v>43200</v>
      </c>
      <c r="L126">
        <f t="shared" si="7"/>
        <v>91800</v>
      </c>
      <c r="M126">
        <f t="shared" si="8"/>
        <v>68</v>
      </c>
      <c r="N126" t="str">
        <f t="shared" si="11"/>
        <v>Yes</v>
      </c>
      <c r="O126">
        <f t="shared" si="12"/>
        <v>15</v>
      </c>
      <c r="P126" t="str">
        <f t="shared" si="13"/>
        <v>Valentine's Day</v>
      </c>
      <c r="Q126" t="s">
        <v>124</v>
      </c>
    </row>
    <row r="127" spans="1:17" x14ac:dyDescent="0.3">
      <c r="A127">
        <v>126</v>
      </c>
      <c r="B127" t="s">
        <v>16</v>
      </c>
      <c r="C127" s="1">
        <v>45689</v>
      </c>
      <c r="D127" t="s">
        <v>29</v>
      </c>
      <c r="E127" t="s">
        <v>32</v>
      </c>
      <c r="F127" s="2" t="s">
        <v>40</v>
      </c>
      <c r="G127" t="str">
        <f t="shared" si="9"/>
        <v>Musk 12-UAE</v>
      </c>
      <c r="H127">
        <f t="shared" si="10"/>
        <v>952</v>
      </c>
      <c r="I127">
        <f>VLOOKUP(G127,Table4[[SKU-COUNTRY2]:[Price in USD]],2,FALSE)</f>
        <v>113.4</v>
      </c>
      <c r="J127">
        <f>VLOOKUP(G127,Sheet3!$C$82:$I$100,MATCH(E127,Sheet3!C$82:H$82,0),FALSE) * VLOOKUP(C127,Table8[],2,0)</f>
        <v>108000</v>
      </c>
      <c r="K127">
        <f>ROUND(J127*VLOOKUP(F127,Sheet3!$A$106:$C$111,2,FALSE),0)</f>
        <v>32400</v>
      </c>
      <c r="L127">
        <f t="shared" si="7"/>
        <v>75600</v>
      </c>
      <c r="M127">
        <f t="shared" si="8"/>
        <v>70</v>
      </c>
      <c r="N127" t="str">
        <f t="shared" si="11"/>
        <v>Yes</v>
      </c>
      <c r="O127">
        <f t="shared" si="12"/>
        <v>15</v>
      </c>
      <c r="P127" t="str">
        <f t="shared" si="13"/>
        <v>Valentine's Day</v>
      </c>
      <c r="Q127" t="s">
        <v>124</v>
      </c>
    </row>
    <row r="128" spans="1:17" x14ac:dyDescent="0.3">
      <c r="A128">
        <v>127</v>
      </c>
      <c r="B128" t="s">
        <v>16</v>
      </c>
      <c r="C128" s="1">
        <v>45689</v>
      </c>
      <c r="D128" t="s">
        <v>29</v>
      </c>
      <c r="E128" t="s">
        <v>31</v>
      </c>
      <c r="F128" s="2" t="s">
        <v>35</v>
      </c>
      <c r="G128" t="str">
        <f t="shared" si="9"/>
        <v>Vanilla 28-UAE</v>
      </c>
      <c r="H128">
        <f t="shared" si="10"/>
        <v>1323</v>
      </c>
      <c r="I128">
        <f>VLOOKUP(G128,Table4[[SKU-COUNTRY2]:[Price in USD]],2,FALSE)</f>
        <v>113.4</v>
      </c>
      <c r="J128">
        <f>VLOOKUP(G128,Sheet3!$C$82:$I$100,MATCH(E128,Sheet3!C$82:H$82,0),FALSE) * VLOOKUP(C128,Table8[],2,0)</f>
        <v>150000</v>
      </c>
      <c r="K128">
        <f>ROUND(J128*VLOOKUP(F128,Sheet3!$A$106:$C$111,2,FALSE),0)</f>
        <v>45000</v>
      </c>
      <c r="L128">
        <f t="shared" si="7"/>
        <v>105000</v>
      </c>
      <c r="M128">
        <f t="shared" si="8"/>
        <v>70</v>
      </c>
      <c r="N128" t="str">
        <f t="shared" si="11"/>
        <v>Yes</v>
      </c>
      <c r="O128">
        <f t="shared" si="12"/>
        <v>15</v>
      </c>
      <c r="P128" t="str">
        <f t="shared" si="13"/>
        <v>Valentine's Day</v>
      </c>
      <c r="Q128" t="s">
        <v>124</v>
      </c>
    </row>
    <row r="129" spans="1:17" x14ac:dyDescent="0.3">
      <c r="A129">
        <v>128</v>
      </c>
      <c r="B129" t="s">
        <v>16</v>
      </c>
      <c r="C129" s="1">
        <v>45689</v>
      </c>
      <c r="D129" t="s">
        <v>29</v>
      </c>
      <c r="E129" t="s">
        <v>31</v>
      </c>
      <c r="F129" s="2" t="s">
        <v>36</v>
      </c>
      <c r="G129" t="str">
        <f t="shared" si="9"/>
        <v>Eden Juicy Apple 01-UAE</v>
      </c>
      <c r="H129">
        <f t="shared" si="10"/>
        <v>992</v>
      </c>
      <c r="I129">
        <f>VLOOKUP(G129,Table4[[SKU-COUNTRY2]:[Price in USD]],2,FALSE)</f>
        <v>113.4</v>
      </c>
      <c r="J129">
        <f>VLOOKUP(G129,Sheet3!$C$82:$I$100,MATCH(E129,Sheet3!C$82:H$82,0),FALSE) * VLOOKUP(C129,Table8[],2,0)</f>
        <v>112500</v>
      </c>
      <c r="K129">
        <f>ROUND(J129*VLOOKUP(F129,Sheet3!$A$106:$C$111,2,FALSE),0)</f>
        <v>34875</v>
      </c>
      <c r="L129">
        <f t="shared" si="7"/>
        <v>77625</v>
      </c>
      <c r="M129">
        <f t="shared" si="8"/>
        <v>69</v>
      </c>
      <c r="N129" t="str">
        <f t="shared" si="11"/>
        <v>Yes</v>
      </c>
      <c r="O129">
        <f t="shared" si="12"/>
        <v>15</v>
      </c>
      <c r="P129" t="str">
        <f t="shared" si="13"/>
        <v>Valentine's Day</v>
      </c>
      <c r="Q129" t="s">
        <v>124</v>
      </c>
    </row>
    <row r="130" spans="1:17" x14ac:dyDescent="0.3">
      <c r="A130">
        <v>129</v>
      </c>
      <c r="B130" t="s">
        <v>16</v>
      </c>
      <c r="C130" s="1">
        <v>45689</v>
      </c>
      <c r="D130" t="s">
        <v>29</v>
      </c>
      <c r="E130" t="s">
        <v>31</v>
      </c>
      <c r="F130" s="2" t="s">
        <v>37</v>
      </c>
      <c r="G130" t="str">
        <f t="shared" si="9"/>
        <v>Oudgasm Tobacco Oud 04-UAE</v>
      </c>
      <c r="H130">
        <f t="shared" si="10"/>
        <v>1764</v>
      </c>
      <c r="I130">
        <f>VLOOKUP(G130,Table4[[SKU-COUNTRY2]:[Price in USD]],2,FALSE)</f>
        <v>148.77000000000001</v>
      </c>
      <c r="J130">
        <f>VLOOKUP(G130,Sheet3!$C$82:$I$100,MATCH(E130,Sheet3!C$82:H$82,0),FALSE) * VLOOKUP(C130,Table8[],2,0)</f>
        <v>262500</v>
      </c>
      <c r="K130">
        <f>ROUND(J130*VLOOKUP(F130,Sheet3!$A$106:$C$111,2,FALSE),0)</f>
        <v>91875</v>
      </c>
      <c r="L130">
        <f t="shared" ref="L130:L193" si="14">J130-K130</f>
        <v>170625</v>
      </c>
      <c r="M130">
        <f t="shared" ref="M130:M193" si="15">ROUND(L130/J130*100, 1)</f>
        <v>65</v>
      </c>
      <c r="N130" t="str">
        <f t="shared" si="11"/>
        <v>Yes</v>
      </c>
      <c r="O130">
        <f t="shared" si="12"/>
        <v>15</v>
      </c>
      <c r="P130" t="str">
        <f t="shared" si="13"/>
        <v>Valentine's Day</v>
      </c>
      <c r="Q130" t="s">
        <v>124</v>
      </c>
    </row>
    <row r="131" spans="1:17" x14ac:dyDescent="0.3">
      <c r="A131">
        <v>130</v>
      </c>
      <c r="B131" t="s">
        <v>16</v>
      </c>
      <c r="C131" s="1">
        <v>45689</v>
      </c>
      <c r="D131" t="s">
        <v>29</v>
      </c>
      <c r="E131" t="s">
        <v>31</v>
      </c>
      <c r="F131" s="2" t="s">
        <v>38</v>
      </c>
      <c r="G131" t="str">
        <f t="shared" ref="G131:G194" si="16">_xlfn.CONCAT(F131,"-",D131,)</f>
        <v>Yum Pistachio Gelato 33-UAE</v>
      </c>
      <c r="H131">
        <f t="shared" ref="H131:H194" si="17">ROUND(J131/I131,0)</f>
        <v>794</v>
      </c>
      <c r="I131">
        <f>VLOOKUP(G131,Table4[[SKU-COUNTRY2]:[Price in USD]],2,FALSE)</f>
        <v>113.4</v>
      </c>
      <c r="J131">
        <f>VLOOKUP(G131,Sheet3!$C$82:$I$100,MATCH(E131,Sheet3!C$82:H$82,0),FALSE) * VLOOKUP(C131,Table8[],2,0)</f>
        <v>90000</v>
      </c>
      <c r="K131">
        <f>ROUND(J131*VLOOKUP(F131,Sheet3!$A$106:$C$111,2,FALSE),0)</f>
        <v>27900</v>
      </c>
      <c r="L131">
        <f t="shared" si="14"/>
        <v>62100</v>
      </c>
      <c r="M131">
        <f t="shared" si="15"/>
        <v>69</v>
      </c>
      <c r="N131" t="str">
        <f t="shared" ref="N131:N194" si="18">IF(OR(
    MONTH(C131)=2,
    AND(MONTH(C131)=3, D131="UAE"),
    AND(MONTH(C131)=6, D131="UAE"),
    AND(MONTH(C131)=7, OR(D131="USA", D131="UK")),
    MONTH(C131)=9,
    AND(MONTH(C131)=11, OR(D131="USA", D131="UK"))
), "Yes", "No")</f>
        <v>Yes</v>
      </c>
      <c r="O131">
        <f t="shared" ref="O131:O194" si="19">IF(MONTH(C131)=2, 15,
IF(AND(MONTH(C131)=3, D131="UAE"), 20,
IF(AND(MONTH(C131)=6, D131="UAE"), 15,
IF(AND(MONTH(C131)=7, OR(D131="USA", D131="UK")), 20,
IF(AND(MONTH(C131)=11, OR(D131="USA", D131="UK")), 25,
0)))))</f>
        <v>15</v>
      </c>
      <c r="P131" t="str">
        <f t="shared" ref="P131:P194" si="20">IF(MONTH(C131)=2, "Valentine's Day",
IF(AND(MONTH(C131)=3, D131="UAE"), "Eid Al Fitr",
IF(AND(MONTH(C131)=6, D131="UAE"), "Eid Al Adha",
IF(AND(MONTH(C131)=7, OR(D131="USA", D131="UK")), "Summer Sale",
IF(MONTH(C131)=9, "Freedom Launch",
IF(AND(MONTH(C131)=11, OR(D131="USA", D131="UK")), "Black Friday",
"None"))))))</f>
        <v>Valentine's Day</v>
      </c>
      <c r="Q131" t="s">
        <v>124</v>
      </c>
    </row>
    <row r="132" spans="1:17" x14ac:dyDescent="0.3">
      <c r="A132">
        <v>131</v>
      </c>
      <c r="B132" t="s">
        <v>16</v>
      </c>
      <c r="C132" s="1">
        <v>45689</v>
      </c>
      <c r="D132" t="s">
        <v>29</v>
      </c>
      <c r="E132" t="s">
        <v>31</v>
      </c>
      <c r="F132" s="2" t="s">
        <v>39</v>
      </c>
      <c r="G132" t="str">
        <f t="shared" si="16"/>
        <v>Freedom Musk Santal 34-UAE</v>
      </c>
      <c r="H132">
        <f t="shared" si="17"/>
        <v>661</v>
      </c>
      <c r="I132">
        <f>VLOOKUP(G132,Table4[[SKU-COUNTRY2]:[Price in USD]],2,FALSE)</f>
        <v>113.4</v>
      </c>
      <c r="J132">
        <f>VLOOKUP(G132,Sheet3!$C$82:$I$100,MATCH(E132,Sheet3!C$82:H$82,0),FALSE) * VLOOKUP(C132,Table8[],2,0)</f>
        <v>75000</v>
      </c>
      <c r="K132">
        <f>ROUND(J132*VLOOKUP(F132,Sheet3!$A$106:$C$111,2,FALSE),0)</f>
        <v>24000</v>
      </c>
      <c r="L132">
        <f t="shared" si="14"/>
        <v>51000</v>
      </c>
      <c r="M132">
        <f t="shared" si="15"/>
        <v>68</v>
      </c>
      <c r="N132" t="str">
        <f t="shared" si="18"/>
        <v>Yes</v>
      </c>
      <c r="O132">
        <f t="shared" si="19"/>
        <v>15</v>
      </c>
      <c r="P132" t="str">
        <f t="shared" si="20"/>
        <v>Valentine's Day</v>
      </c>
      <c r="Q132" t="s">
        <v>124</v>
      </c>
    </row>
    <row r="133" spans="1:17" x14ac:dyDescent="0.3">
      <c r="A133">
        <v>132</v>
      </c>
      <c r="B133" t="s">
        <v>16</v>
      </c>
      <c r="C133" s="1">
        <v>45689</v>
      </c>
      <c r="D133" t="s">
        <v>29</v>
      </c>
      <c r="E133" t="s">
        <v>31</v>
      </c>
      <c r="F133" s="2" t="s">
        <v>40</v>
      </c>
      <c r="G133" t="str">
        <f t="shared" si="16"/>
        <v>Musk 12-UAE</v>
      </c>
      <c r="H133">
        <f t="shared" si="17"/>
        <v>529</v>
      </c>
      <c r="I133">
        <f>VLOOKUP(G133,Table4[[SKU-COUNTRY2]:[Price in USD]],2,FALSE)</f>
        <v>113.4</v>
      </c>
      <c r="J133">
        <f>VLOOKUP(G133,Sheet3!$C$82:$I$100,MATCH(E133,Sheet3!C$82:H$82,0),FALSE) * VLOOKUP(C133,Table8[],2,0)</f>
        <v>60000</v>
      </c>
      <c r="K133">
        <f>ROUND(J133*VLOOKUP(F133,Sheet3!$A$106:$C$111,2,FALSE),0)</f>
        <v>18000</v>
      </c>
      <c r="L133">
        <f t="shared" si="14"/>
        <v>42000</v>
      </c>
      <c r="M133">
        <f t="shared" si="15"/>
        <v>70</v>
      </c>
      <c r="N133" t="str">
        <f t="shared" si="18"/>
        <v>Yes</v>
      </c>
      <c r="O133">
        <f t="shared" si="19"/>
        <v>15</v>
      </c>
      <c r="P133" t="str">
        <f t="shared" si="20"/>
        <v>Valentine's Day</v>
      </c>
      <c r="Q133" t="s">
        <v>124</v>
      </c>
    </row>
    <row r="134" spans="1:17" x14ac:dyDescent="0.3">
      <c r="A134">
        <v>133</v>
      </c>
      <c r="B134" t="s">
        <v>16</v>
      </c>
      <c r="C134" s="1">
        <v>45689</v>
      </c>
      <c r="D134" t="s">
        <v>29</v>
      </c>
      <c r="E134" t="s">
        <v>33</v>
      </c>
      <c r="F134" s="2" t="s">
        <v>35</v>
      </c>
      <c r="G134" t="str">
        <f t="shared" si="16"/>
        <v>Vanilla 28-UAE</v>
      </c>
      <c r="H134">
        <f t="shared" si="17"/>
        <v>1058</v>
      </c>
      <c r="I134">
        <f>VLOOKUP(G134,Table4[[SKU-COUNTRY2]:[Price in USD]],2,FALSE)</f>
        <v>113.4</v>
      </c>
      <c r="J134">
        <f>VLOOKUP(G134,Sheet3!$C$82:$I$100,MATCH(E134,Sheet3!C$82:H$82,0),FALSE) * VLOOKUP(C134,Table8[],2,0)</f>
        <v>120000</v>
      </c>
      <c r="K134">
        <f>ROUND(J134*VLOOKUP(F134,Sheet3!$A$106:$C$111,2,FALSE),0)</f>
        <v>36000</v>
      </c>
      <c r="L134">
        <f t="shared" si="14"/>
        <v>84000</v>
      </c>
      <c r="M134">
        <f t="shared" si="15"/>
        <v>70</v>
      </c>
      <c r="N134" t="str">
        <f t="shared" si="18"/>
        <v>Yes</v>
      </c>
      <c r="O134">
        <f t="shared" si="19"/>
        <v>15</v>
      </c>
      <c r="P134" t="str">
        <f t="shared" si="20"/>
        <v>Valentine's Day</v>
      </c>
      <c r="Q134" t="s">
        <v>124</v>
      </c>
    </row>
    <row r="135" spans="1:17" x14ac:dyDescent="0.3">
      <c r="A135">
        <v>134</v>
      </c>
      <c r="B135" t="s">
        <v>16</v>
      </c>
      <c r="C135" s="1">
        <v>45689</v>
      </c>
      <c r="D135" t="s">
        <v>29</v>
      </c>
      <c r="E135" t="s">
        <v>33</v>
      </c>
      <c r="F135" s="2" t="s">
        <v>36</v>
      </c>
      <c r="G135" t="str">
        <f t="shared" si="16"/>
        <v>Eden Juicy Apple 01-UAE</v>
      </c>
      <c r="H135">
        <f t="shared" si="17"/>
        <v>794</v>
      </c>
      <c r="I135">
        <f>VLOOKUP(G135,Table4[[SKU-COUNTRY2]:[Price in USD]],2,FALSE)</f>
        <v>113.4</v>
      </c>
      <c r="J135">
        <f>VLOOKUP(G135,Sheet3!$C$82:$I$100,MATCH(E135,Sheet3!C$82:H$82,0),FALSE) * VLOOKUP(C135,Table8[],2,0)</f>
        <v>90000</v>
      </c>
      <c r="K135">
        <f>ROUND(J135*VLOOKUP(F135,Sheet3!$A$106:$C$111,2,FALSE),0)</f>
        <v>27900</v>
      </c>
      <c r="L135">
        <f t="shared" si="14"/>
        <v>62100</v>
      </c>
      <c r="M135">
        <f t="shared" si="15"/>
        <v>69</v>
      </c>
      <c r="N135" t="str">
        <f t="shared" si="18"/>
        <v>Yes</v>
      </c>
      <c r="O135">
        <f t="shared" si="19"/>
        <v>15</v>
      </c>
      <c r="P135" t="str">
        <f t="shared" si="20"/>
        <v>Valentine's Day</v>
      </c>
      <c r="Q135" t="s">
        <v>124</v>
      </c>
    </row>
    <row r="136" spans="1:17" x14ac:dyDescent="0.3">
      <c r="A136">
        <v>135</v>
      </c>
      <c r="B136" t="s">
        <v>16</v>
      </c>
      <c r="C136" s="1">
        <v>45689</v>
      </c>
      <c r="D136" t="s">
        <v>29</v>
      </c>
      <c r="E136" t="s">
        <v>33</v>
      </c>
      <c r="F136" s="2" t="s">
        <v>37</v>
      </c>
      <c r="G136" t="str">
        <f t="shared" si="16"/>
        <v>Oudgasm Tobacco Oud 04-UAE</v>
      </c>
      <c r="H136">
        <f t="shared" si="17"/>
        <v>1412</v>
      </c>
      <c r="I136">
        <f>VLOOKUP(G136,Table4[[SKU-COUNTRY2]:[Price in USD]],2,FALSE)</f>
        <v>148.77000000000001</v>
      </c>
      <c r="J136">
        <f>VLOOKUP(G136,Sheet3!$C$82:$I$100,MATCH(E136,Sheet3!C$82:H$82,0),FALSE) * VLOOKUP(C136,Table8[],2,0)</f>
        <v>210000</v>
      </c>
      <c r="K136">
        <f>ROUND(J136*VLOOKUP(F136,Sheet3!$A$106:$C$111,2,FALSE),0)</f>
        <v>73500</v>
      </c>
      <c r="L136">
        <f t="shared" si="14"/>
        <v>136500</v>
      </c>
      <c r="M136">
        <f t="shared" si="15"/>
        <v>65</v>
      </c>
      <c r="N136" t="str">
        <f t="shared" si="18"/>
        <v>Yes</v>
      </c>
      <c r="O136">
        <f t="shared" si="19"/>
        <v>15</v>
      </c>
      <c r="P136" t="str">
        <f t="shared" si="20"/>
        <v>Valentine's Day</v>
      </c>
      <c r="Q136" t="s">
        <v>124</v>
      </c>
    </row>
    <row r="137" spans="1:17" x14ac:dyDescent="0.3">
      <c r="A137">
        <v>136</v>
      </c>
      <c r="B137" t="s">
        <v>16</v>
      </c>
      <c r="C137" s="1">
        <v>45689</v>
      </c>
      <c r="D137" t="s">
        <v>29</v>
      </c>
      <c r="E137" t="s">
        <v>33</v>
      </c>
      <c r="F137" s="2" t="s">
        <v>38</v>
      </c>
      <c r="G137" t="str">
        <f t="shared" si="16"/>
        <v>Yum Pistachio Gelato 33-UAE</v>
      </c>
      <c r="H137">
        <f t="shared" si="17"/>
        <v>635</v>
      </c>
      <c r="I137">
        <f>VLOOKUP(G137,Table4[[SKU-COUNTRY2]:[Price in USD]],2,FALSE)</f>
        <v>113.4</v>
      </c>
      <c r="J137">
        <f>VLOOKUP(G137,Sheet3!$C$82:$I$100,MATCH(E137,Sheet3!C$82:H$82,0),FALSE) * VLOOKUP(C137,Table8[],2,0)</f>
        <v>72000</v>
      </c>
      <c r="K137">
        <f>ROUND(J137*VLOOKUP(F137,Sheet3!$A$106:$C$111,2,FALSE),0)</f>
        <v>22320</v>
      </c>
      <c r="L137">
        <f t="shared" si="14"/>
        <v>49680</v>
      </c>
      <c r="M137">
        <f t="shared" si="15"/>
        <v>69</v>
      </c>
      <c r="N137" t="str">
        <f t="shared" si="18"/>
        <v>Yes</v>
      </c>
      <c r="O137">
        <f t="shared" si="19"/>
        <v>15</v>
      </c>
      <c r="P137" t="str">
        <f t="shared" si="20"/>
        <v>Valentine's Day</v>
      </c>
      <c r="Q137" t="s">
        <v>124</v>
      </c>
    </row>
    <row r="138" spans="1:17" x14ac:dyDescent="0.3">
      <c r="A138">
        <v>137</v>
      </c>
      <c r="B138" t="s">
        <v>16</v>
      </c>
      <c r="C138" s="1">
        <v>45689</v>
      </c>
      <c r="D138" t="s">
        <v>29</v>
      </c>
      <c r="E138" t="s">
        <v>33</v>
      </c>
      <c r="F138" s="2" t="s">
        <v>39</v>
      </c>
      <c r="G138" t="str">
        <f t="shared" si="16"/>
        <v>Freedom Musk Santal 34-UAE</v>
      </c>
      <c r="H138">
        <f t="shared" si="17"/>
        <v>529</v>
      </c>
      <c r="I138">
        <f>VLOOKUP(G138,Table4[[SKU-COUNTRY2]:[Price in USD]],2,FALSE)</f>
        <v>113.4</v>
      </c>
      <c r="J138">
        <f>VLOOKUP(G138,Sheet3!$C$82:$I$100,MATCH(E138,Sheet3!C$82:H$82,0),FALSE) * VLOOKUP(C138,Table8[],2,0)</f>
        <v>60000</v>
      </c>
      <c r="K138">
        <f>ROUND(J138*VLOOKUP(F138,Sheet3!$A$106:$C$111,2,FALSE),0)</f>
        <v>19200</v>
      </c>
      <c r="L138">
        <f t="shared" si="14"/>
        <v>40800</v>
      </c>
      <c r="M138">
        <f t="shared" si="15"/>
        <v>68</v>
      </c>
      <c r="N138" t="str">
        <f t="shared" si="18"/>
        <v>Yes</v>
      </c>
      <c r="O138">
        <f t="shared" si="19"/>
        <v>15</v>
      </c>
      <c r="P138" t="str">
        <f t="shared" si="20"/>
        <v>Valentine's Day</v>
      </c>
      <c r="Q138" t="s">
        <v>124</v>
      </c>
    </row>
    <row r="139" spans="1:17" x14ac:dyDescent="0.3">
      <c r="A139">
        <v>138</v>
      </c>
      <c r="B139" t="s">
        <v>16</v>
      </c>
      <c r="C139" s="1">
        <v>45689</v>
      </c>
      <c r="D139" t="s">
        <v>29</v>
      </c>
      <c r="E139" t="s">
        <v>33</v>
      </c>
      <c r="F139" s="2" t="s">
        <v>40</v>
      </c>
      <c r="G139" t="str">
        <f t="shared" si="16"/>
        <v>Musk 12-UAE</v>
      </c>
      <c r="H139">
        <f t="shared" si="17"/>
        <v>423</v>
      </c>
      <c r="I139">
        <f>VLOOKUP(G139,Table4[[SKU-COUNTRY2]:[Price in USD]],2,FALSE)</f>
        <v>113.4</v>
      </c>
      <c r="J139">
        <f>VLOOKUP(G139,Sheet3!$C$82:$I$100,MATCH(E139,Sheet3!C$82:H$82,0),FALSE) * VLOOKUP(C139,Table8[],2,0)</f>
        <v>48000</v>
      </c>
      <c r="K139">
        <f>ROUND(J139*VLOOKUP(F139,Sheet3!$A$106:$C$111,2,FALSE),0)</f>
        <v>14400</v>
      </c>
      <c r="L139">
        <f t="shared" si="14"/>
        <v>33600</v>
      </c>
      <c r="M139">
        <f t="shared" si="15"/>
        <v>70</v>
      </c>
      <c r="N139" t="str">
        <f t="shared" si="18"/>
        <v>Yes</v>
      </c>
      <c r="O139">
        <f t="shared" si="19"/>
        <v>15</v>
      </c>
      <c r="P139" t="str">
        <f t="shared" si="20"/>
        <v>Valentine's Day</v>
      </c>
      <c r="Q139" t="s">
        <v>124</v>
      </c>
    </row>
    <row r="140" spans="1:17" x14ac:dyDescent="0.3">
      <c r="A140">
        <v>139</v>
      </c>
      <c r="B140" t="s">
        <v>16</v>
      </c>
      <c r="C140" s="1">
        <v>45689</v>
      </c>
      <c r="D140" t="s">
        <v>29</v>
      </c>
      <c r="E140" t="s">
        <v>34</v>
      </c>
      <c r="F140" s="2" t="s">
        <v>35</v>
      </c>
      <c r="G140" t="str">
        <f t="shared" si="16"/>
        <v>Vanilla 28-UAE</v>
      </c>
      <c r="H140">
        <f t="shared" si="17"/>
        <v>529</v>
      </c>
      <c r="I140">
        <f>VLOOKUP(G140,Table4[[SKU-COUNTRY2]:[Price in USD]],2,FALSE)</f>
        <v>113.4</v>
      </c>
      <c r="J140">
        <f>VLOOKUP(G140,Sheet3!$C$82:$I$100,MATCH(E140,Sheet3!C$82:H$82,0),FALSE) * VLOOKUP(C140,Table8[],2,0)</f>
        <v>60000</v>
      </c>
      <c r="K140">
        <f>ROUND(J140*VLOOKUP(F140,Sheet3!$A$106:$C$111,2,FALSE),0)</f>
        <v>18000</v>
      </c>
      <c r="L140">
        <f t="shared" si="14"/>
        <v>42000</v>
      </c>
      <c r="M140">
        <f t="shared" si="15"/>
        <v>70</v>
      </c>
      <c r="N140" t="str">
        <f t="shared" si="18"/>
        <v>Yes</v>
      </c>
      <c r="O140">
        <f t="shared" si="19"/>
        <v>15</v>
      </c>
      <c r="P140" t="str">
        <f t="shared" si="20"/>
        <v>Valentine's Day</v>
      </c>
      <c r="Q140" t="s">
        <v>124</v>
      </c>
    </row>
    <row r="141" spans="1:17" x14ac:dyDescent="0.3">
      <c r="A141">
        <v>140</v>
      </c>
      <c r="B141" t="s">
        <v>16</v>
      </c>
      <c r="C141" s="1">
        <v>45689</v>
      </c>
      <c r="D141" t="s">
        <v>29</v>
      </c>
      <c r="E141" t="s">
        <v>34</v>
      </c>
      <c r="F141" s="2" t="s">
        <v>36</v>
      </c>
      <c r="G141" t="str">
        <f t="shared" si="16"/>
        <v>Eden Juicy Apple 01-UAE</v>
      </c>
      <c r="H141">
        <f t="shared" si="17"/>
        <v>397</v>
      </c>
      <c r="I141">
        <f>VLOOKUP(G141,Table4[[SKU-COUNTRY2]:[Price in USD]],2,FALSE)</f>
        <v>113.4</v>
      </c>
      <c r="J141">
        <f>VLOOKUP(G141,Sheet3!$C$82:$I$100,MATCH(E141,Sheet3!C$82:H$82,0),FALSE) * VLOOKUP(C141,Table8[],2,0)</f>
        <v>45000</v>
      </c>
      <c r="K141">
        <f>ROUND(J141*VLOOKUP(F141,Sheet3!$A$106:$C$111,2,FALSE),0)</f>
        <v>13950</v>
      </c>
      <c r="L141">
        <f t="shared" si="14"/>
        <v>31050</v>
      </c>
      <c r="M141">
        <f t="shared" si="15"/>
        <v>69</v>
      </c>
      <c r="N141" t="str">
        <f t="shared" si="18"/>
        <v>Yes</v>
      </c>
      <c r="O141">
        <f t="shared" si="19"/>
        <v>15</v>
      </c>
      <c r="P141" t="str">
        <f t="shared" si="20"/>
        <v>Valentine's Day</v>
      </c>
      <c r="Q141" t="s">
        <v>124</v>
      </c>
    </row>
    <row r="142" spans="1:17" x14ac:dyDescent="0.3">
      <c r="A142">
        <v>141</v>
      </c>
      <c r="B142" t="s">
        <v>16</v>
      </c>
      <c r="C142" s="1">
        <v>45689</v>
      </c>
      <c r="D142" t="s">
        <v>29</v>
      </c>
      <c r="E142" t="s">
        <v>34</v>
      </c>
      <c r="F142" s="2" t="s">
        <v>37</v>
      </c>
      <c r="G142" t="str">
        <f t="shared" si="16"/>
        <v>Oudgasm Tobacco Oud 04-UAE</v>
      </c>
      <c r="H142">
        <f t="shared" si="17"/>
        <v>706</v>
      </c>
      <c r="I142">
        <f>VLOOKUP(G142,Table4[[SKU-COUNTRY2]:[Price in USD]],2,FALSE)</f>
        <v>148.77000000000001</v>
      </c>
      <c r="J142">
        <f>VLOOKUP(G142,Sheet3!$C$82:$I$100,MATCH(E142,Sheet3!C$82:H$82,0),FALSE) * VLOOKUP(C142,Table8[],2,0)</f>
        <v>105000</v>
      </c>
      <c r="K142">
        <f>ROUND(J142*VLOOKUP(F142,Sheet3!$A$106:$C$111,2,FALSE),0)</f>
        <v>36750</v>
      </c>
      <c r="L142">
        <f t="shared" si="14"/>
        <v>68250</v>
      </c>
      <c r="M142">
        <f t="shared" si="15"/>
        <v>65</v>
      </c>
      <c r="N142" t="str">
        <f t="shared" si="18"/>
        <v>Yes</v>
      </c>
      <c r="O142">
        <f t="shared" si="19"/>
        <v>15</v>
      </c>
      <c r="P142" t="str">
        <f t="shared" si="20"/>
        <v>Valentine's Day</v>
      </c>
      <c r="Q142" t="s">
        <v>124</v>
      </c>
    </row>
    <row r="143" spans="1:17" x14ac:dyDescent="0.3">
      <c r="A143">
        <v>142</v>
      </c>
      <c r="B143" t="s">
        <v>16</v>
      </c>
      <c r="C143" s="1">
        <v>45689</v>
      </c>
      <c r="D143" t="s">
        <v>29</v>
      </c>
      <c r="E143" t="s">
        <v>34</v>
      </c>
      <c r="F143" s="2" t="s">
        <v>38</v>
      </c>
      <c r="G143" t="str">
        <f t="shared" si="16"/>
        <v>Yum Pistachio Gelato 33-UAE</v>
      </c>
      <c r="H143">
        <f t="shared" si="17"/>
        <v>317</v>
      </c>
      <c r="I143">
        <f>VLOOKUP(G143,Table4[[SKU-COUNTRY2]:[Price in USD]],2,FALSE)</f>
        <v>113.4</v>
      </c>
      <c r="J143">
        <f>VLOOKUP(G143,Sheet3!$C$82:$I$100,MATCH(E143,Sheet3!C$82:H$82,0),FALSE) * VLOOKUP(C143,Table8[],2,0)</f>
        <v>36000</v>
      </c>
      <c r="K143">
        <f>ROUND(J143*VLOOKUP(F143,Sheet3!$A$106:$C$111,2,FALSE),0)</f>
        <v>11160</v>
      </c>
      <c r="L143">
        <f t="shared" si="14"/>
        <v>24840</v>
      </c>
      <c r="M143">
        <f t="shared" si="15"/>
        <v>69</v>
      </c>
      <c r="N143" t="str">
        <f t="shared" si="18"/>
        <v>Yes</v>
      </c>
      <c r="O143">
        <f t="shared" si="19"/>
        <v>15</v>
      </c>
      <c r="P143" t="str">
        <f t="shared" si="20"/>
        <v>Valentine's Day</v>
      </c>
      <c r="Q143" t="s">
        <v>124</v>
      </c>
    </row>
    <row r="144" spans="1:17" x14ac:dyDescent="0.3">
      <c r="A144">
        <v>143</v>
      </c>
      <c r="B144" t="s">
        <v>16</v>
      </c>
      <c r="C144" s="1">
        <v>45689</v>
      </c>
      <c r="D144" t="s">
        <v>29</v>
      </c>
      <c r="E144" t="s">
        <v>34</v>
      </c>
      <c r="F144" s="2" t="s">
        <v>39</v>
      </c>
      <c r="G144" t="str">
        <f t="shared" si="16"/>
        <v>Freedom Musk Santal 34-UAE</v>
      </c>
      <c r="H144">
        <f t="shared" si="17"/>
        <v>265</v>
      </c>
      <c r="I144">
        <f>VLOOKUP(G144,Table4[[SKU-COUNTRY2]:[Price in USD]],2,FALSE)</f>
        <v>113.4</v>
      </c>
      <c r="J144">
        <f>VLOOKUP(G144,Sheet3!$C$82:$I$100,MATCH(E144,Sheet3!C$82:H$82,0),FALSE) * VLOOKUP(C144,Table8[],2,0)</f>
        <v>30000</v>
      </c>
      <c r="K144">
        <f>ROUND(J144*VLOOKUP(F144,Sheet3!$A$106:$C$111,2,FALSE),0)</f>
        <v>9600</v>
      </c>
      <c r="L144">
        <f t="shared" si="14"/>
        <v>20400</v>
      </c>
      <c r="M144">
        <f t="shared" si="15"/>
        <v>68</v>
      </c>
      <c r="N144" t="str">
        <f t="shared" si="18"/>
        <v>Yes</v>
      </c>
      <c r="O144">
        <f t="shared" si="19"/>
        <v>15</v>
      </c>
      <c r="P144" t="str">
        <f t="shared" si="20"/>
        <v>Valentine's Day</v>
      </c>
      <c r="Q144" t="s">
        <v>124</v>
      </c>
    </row>
    <row r="145" spans="1:17" x14ac:dyDescent="0.3">
      <c r="A145">
        <v>144</v>
      </c>
      <c r="B145" t="s">
        <v>16</v>
      </c>
      <c r="C145" s="1">
        <v>45689</v>
      </c>
      <c r="D145" t="s">
        <v>29</v>
      </c>
      <c r="E145" t="s">
        <v>34</v>
      </c>
      <c r="F145" s="2" t="s">
        <v>40</v>
      </c>
      <c r="G145" t="str">
        <f t="shared" si="16"/>
        <v>Musk 12-UAE</v>
      </c>
      <c r="H145">
        <f t="shared" si="17"/>
        <v>212</v>
      </c>
      <c r="I145">
        <f>VLOOKUP(G145,Table4[[SKU-COUNTRY2]:[Price in USD]],2,FALSE)</f>
        <v>113.4</v>
      </c>
      <c r="J145">
        <f>VLOOKUP(G145,Sheet3!$C$82:$I$100,MATCH(E145,Sheet3!C$82:H$82,0),FALSE) * VLOOKUP(C145,Table8[],2,0)</f>
        <v>24000</v>
      </c>
      <c r="K145">
        <f>ROUND(J145*VLOOKUP(F145,Sheet3!$A$106:$C$111,2,FALSE),0)</f>
        <v>7200</v>
      </c>
      <c r="L145">
        <f t="shared" si="14"/>
        <v>16800</v>
      </c>
      <c r="M145">
        <f t="shared" si="15"/>
        <v>70</v>
      </c>
      <c r="N145" t="str">
        <f t="shared" si="18"/>
        <v>Yes</v>
      </c>
      <c r="O145">
        <f t="shared" si="19"/>
        <v>15</v>
      </c>
      <c r="P145" t="str">
        <f t="shared" si="20"/>
        <v>Valentine's Day</v>
      </c>
      <c r="Q145" t="s">
        <v>124</v>
      </c>
    </row>
    <row r="146" spans="1:17" x14ac:dyDescent="0.3">
      <c r="A146">
        <v>145</v>
      </c>
      <c r="B146" t="s">
        <v>17</v>
      </c>
      <c r="C146" s="1">
        <v>45717</v>
      </c>
      <c r="D146" t="s">
        <v>28</v>
      </c>
      <c r="E146" t="s">
        <v>32</v>
      </c>
      <c r="F146" s="2" t="s">
        <v>35</v>
      </c>
      <c r="G146" t="str">
        <f t="shared" si="16"/>
        <v>Vanilla 28-USA</v>
      </c>
      <c r="H146">
        <f t="shared" si="17"/>
        <v>23100</v>
      </c>
      <c r="I146">
        <f>VLOOKUP(G146,Table4[[SKU-COUNTRY2]:[Price in USD]],2,FALSE)</f>
        <v>105</v>
      </c>
      <c r="J146">
        <f>VLOOKUP(G146,Sheet3!$C$82:$I$100,MATCH(E146,Sheet3!C$82:H$82,0),FALSE) * VLOOKUP(C146,Table8[],2,0)</f>
        <v>2425500</v>
      </c>
      <c r="K146">
        <f>ROUND(J146*VLOOKUP(F146,Sheet3!$A$106:$C$111,2,FALSE),0)</f>
        <v>727650</v>
      </c>
      <c r="L146">
        <f t="shared" si="14"/>
        <v>1697850</v>
      </c>
      <c r="M146">
        <f t="shared" si="15"/>
        <v>70</v>
      </c>
      <c r="N146" t="str">
        <f t="shared" si="18"/>
        <v>No</v>
      </c>
      <c r="O146">
        <f t="shared" si="19"/>
        <v>0</v>
      </c>
      <c r="P146" t="str">
        <f t="shared" si="20"/>
        <v>None</v>
      </c>
      <c r="Q146" t="s">
        <v>124</v>
      </c>
    </row>
    <row r="147" spans="1:17" x14ac:dyDescent="0.3">
      <c r="A147">
        <v>146</v>
      </c>
      <c r="B147" t="s">
        <v>17</v>
      </c>
      <c r="C147" s="1">
        <v>45717</v>
      </c>
      <c r="D147" t="s">
        <v>28</v>
      </c>
      <c r="E147" t="s">
        <v>32</v>
      </c>
      <c r="F147" s="2" t="s">
        <v>36</v>
      </c>
      <c r="G147" t="str">
        <f t="shared" si="16"/>
        <v>Eden Juicy Apple 01-USA</v>
      </c>
      <c r="H147">
        <f t="shared" si="17"/>
        <v>13200</v>
      </c>
      <c r="I147">
        <f>VLOOKUP(G147,Table4[[SKU-COUNTRY2]:[Price in USD]],2,FALSE)</f>
        <v>105</v>
      </c>
      <c r="J147">
        <f>VLOOKUP(G147,Sheet3!$C$82:$I$100,MATCH(E147,Sheet3!C$82:H$82,0),FALSE) * VLOOKUP(C147,Table8[],2,0)</f>
        <v>1386000.0000000002</v>
      </c>
      <c r="K147">
        <f>ROUND(J147*VLOOKUP(F147,Sheet3!$A$106:$C$111,2,FALSE),0)</f>
        <v>429660</v>
      </c>
      <c r="L147">
        <f t="shared" si="14"/>
        <v>956340.00000000023</v>
      </c>
      <c r="M147">
        <f t="shared" si="15"/>
        <v>69</v>
      </c>
      <c r="N147" t="str">
        <f t="shared" si="18"/>
        <v>No</v>
      </c>
      <c r="O147">
        <f t="shared" si="19"/>
        <v>0</v>
      </c>
      <c r="P147" t="str">
        <f t="shared" si="20"/>
        <v>None</v>
      </c>
      <c r="Q147" t="s">
        <v>124</v>
      </c>
    </row>
    <row r="148" spans="1:17" x14ac:dyDescent="0.3">
      <c r="A148">
        <v>147</v>
      </c>
      <c r="B148" t="s">
        <v>17</v>
      </c>
      <c r="C148" s="1">
        <v>45717</v>
      </c>
      <c r="D148" t="s">
        <v>28</v>
      </c>
      <c r="E148" t="s">
        <v>32</v>
      </c>
      <c r="F148" s="2" t="s">
        <v>37</v>
      </c>
      <c r="G148" t="str">
        <f t="shared" si="16"/>
        <v>Oudgasm Tobacco Oud 04-USA</v>
      </c>
      <c r="H148">
        <f t="shared" si="17"/>
        <v>8910</v>
      </c>
      <c r="I148">
        <f>VLOOKUP(G148,Table4[[SKU-COUNTRY2]:[Price in USD]],2,FALSE)</f>
        <v>140</v>
      </c>
      <c r="J148">
        <f>VLOOKUP(G148,Sheet3!$C$82:$I$100,MATCH(E148,Sheet3!C$82:H$82,0),FALSE) * VLOOKUP(C148,Table8[],2,0)</f>
        <v>1247400</v>
      </c>
      <c r="K148">
        <f>ROUND(J148*VLOOKUP(F148,Sheet3!$A$106:$C$111,2,FALSE),0)</f>
        <v>436590</v>
      </c>
      <c r="L148">
        <f t="shared" si="14"/>
        <v>810810</v>
      </c>
      <c r="M148">
        <f t="shared" si="15"/>
        <v>65</v>
      </c>
      <c r="N148" t="str">
        <f t="shared" si="18"/>
        <v>No</v>
      </c>
      <c r="O148">
        <f t="shared" si="19"/>
        <v>0</v>
      </c>
      <c r="P148" t="str">
        <f t="shared" si="20"/>
        <v>None</v>
      </c>
      <c r="Q148" t="s">
        <v>124</v>
      </c>
    </row>
    <row r="149" spans="1:17" x14ac:dyDescent="0.3">
      <c r="A149">
        <v>148</v>
      </c>
      <c r="B149" t="s">
        <v>17</v>
      </c>
      <c r="C149" s="1">
        <v>45717</v>
      </c>
      <c r="D149" t="s">
        <v>28</v>
      </c>
      <c r="E149" t="s">
        <v>32</v>
      </c>
      <c r="F149" s="2" t="s">
        <v>38</v>
      </c>
      <c r="G149" t="str">
        <f t="shared" si="16"/>
        <v>Yum Pistachio Gelato 33-USA</v>
      </c>
      <c r="H149">
        <f t="shared" si="17"/>
        <v>7920</v>
      </c>
      <c r="I149">
        <f>VLOOKUP(G149,Table4[[SKU-COUNTRY2]:[Price in USD]],2,FALSE)</f>
        <v>105</v>
      </c>
      <c r="J149">
        <f>VLOOKUP(G149,Sheet3!$C$82:$I$100,MATCH(E149,Sheet3!C$82:H$82,0),FALSE) * VLOOKUP(C149,Table8[],2,0)</f>
        <v>831600.00000000012</v>
      </c>
      <c r="K149">
        <f>ROUND(J149*VLOOKUP(F149,Sheet3!$A$106:$C$111,2,FALSE),0)</f>
        <v>257796</v>
      </c>
      <c r="L149">
        <f t="shared" si="14"/>
        <v>573804.00000000012</v>
      </c>
      <c r="M149">
        <f t="shared" si="15"/>
        <v>69</v>
      </c>
      <c r="N149" t="str">
        <f t="shared" si="18"/>
        <v>No</v>
      </c>
      <c r="O149">
        <f t="shared" si="19"/>
        <v>0</v>
      </c>
      <c r="P149" t="str">
        <f t="shared" si="20"/>
        <v>None</v>
      </c>
      <c r="Q149" t="s">
        <v>124</v>
      </c>
    </row>
    <row r="150" spans="1:17" x14ac:dyDescent="0.3">
      <c r="A150">
        <v>149</v>
      </c>
      <c r="B150" t="s">
        <v>17</v>
      </c>
      <c r="C150" s="1">
        <v>45717</v>
      </c>
      <c r="D150" t="s">
        <v>28</v>
      </c>
      <c r="E150" t="s">
        <v>32</v>
      </c>
      <c r="F150" s="2" t="s">
        <v>39</v>
      </c>
      <c r="G150" t="str">
        <f t="shared" si="16"/>
        <v>Freedom Musk Santal 34-USA</v>
      </c>
      <c r="H150">
        <f t="shared" si="17"/>
        <v>6600</v>
      </c>
      <c r="I150">
        <f>VLOOKUP(G150,Table4[[SKU-COUNTRY2]:[Price in USD]],2,FALSE)</f>
        <v>105</v>
      </c>
      <c r="J150">
        <f>VLOOKUP(G150,Sheet3!$C$82:$I$100,MATCH(E150,Sheet3!C$82:H$82,0),FALSE) * VLOOKUP(C150,Table8[],2,0)</f>
        <v>693000.00000000012</v>
      </c>
      <c r="K150">
        <f>ROUND(J150*VLOOKUP(F150,Sheet3!$A$106:$C$111,2,FALSE),0)</f>
        <v>221760</v>
      </c>
      <c r="L150">
        <f t="shared" si="14"/>
        <v>471240.00000000012</v>
      </c>
      <c r="M150">
        <f t="shared" si="15"/>
        <v>68</v>
      </c>
      <c r="N150" t="str">
        <f t="shared" si="18"/>
        <v>No</v>
      </c>
      <c r="O150">
        <f t="shared" si="19"/>
        <v>0</v>
      </c>
      <c r="P150" t="str">
        <f t="shared" si="20"/>
        <v>None</v>
      </c>
      <c r="Q150" t="s">
        <v>124</v>
      </c>
    </row>
    <row r="151" spans="1:17" x14ac:dyDescent="0.3">
      <c r="A151">
        <v>150</v>
      </c>
      <c r="B151" t="s">
        <v>17</v>
      </c>
      <c r="C151" s="1">
        <v>45717</v>
      </c>
      <c r="D151" t="s">
        <v>28</v>
      </c>
      <c r="E151" t="s">
        <v>32</v>
      </c>
      <c r="F151" s="2" t="s">
        <v>40</v>
      </c>
      <c r="G151" t="str">
        <f t="shared" si="16"/>
        <v>Musk 12-USA</v>
      </c>
      <c r="H151">
        <f t="shared" si="17"/>
        <v>3300</v>
      </c>
      <c r="I151">
        <f>VLOOKUP(G151,Table4[[SKU-COUNTRY2]:[Price in USD]],2,FALSE)</f>
        <v>105</v>
      </c>
      <c r="J151">
        <f>VLOOKUP(G151,Sheet3!$C$82:$I$100,MATCH(E151,Sheet3!C$82:H$82,0),FALSE) * VLOOKUP(C151,Table8[],2,0)</f>
        <v>346500.00000000006</v>
      </c>
      <c r="K151">
        <f>ROUND(J151*VLOOKUP(F151,Sheet3!$A$106:$C$111,2,FALSE),0)</f>
        <v>103950</v>
      </c>
      <c r="L151">
        <f t="shared" si="14"/>
        <v>242550.00000000006</v>
      </c>
      <c r="M151">
        <f t="shared" si="15"/>
        <v>70</v>
      </c>
      <c r="N151" t="str">
        <f t="shared" si="18"/>
        <v>No</v>
      </c>
      <c r="O151">
        <f t="shared" si="19"/>
        <v>0</v>
      </c>
      <c r="P151" t="str">
        <f t="shared" si="20"/>
        <v>None</v>
      </c>
      <c r="Q151" t="s">
        <v>124</v>
      </c>
    </row>
    <row r="152" spans="1:17" x14ac:dyDescent="0.3">
      <c r="A152">
        <v>151</v>
      </c>
      <c r="B152" t="s">
        <v>17</v>
      </c>
      <c r="C152" s="1">
        <v>45717</v>
      </c>
      <c r="D152" t="s">
        <v>28</v>
      </c>
      <c r="E152" t="s">
        <v>31</v>
      </c>
      <c r="F152" s="2" t="s">
        <v>35</v>
      </c>
      <c r="G152" t="str">
        <f t="shared" si="16"/>
        <v>Vanilla 28-USA</v>
      </c>
      <c r="H152">
        <f t="shared" si="17"/>
        <v>10500</v>
      </c>
      <c r="I152">
        <f>VLOOKUP(G152,Table4[[SKU-COUNTRY2]:[Price in USD]],2,FALSE)</f>
        <v>105</v>
      </c>
      <c r="J152">
        <f>VLOOKUP(G152,Sheet3!$C$82:$I$100,MATCH(E152,Sheet3!C$82:H$82,0),FALSE) * VLOOKUP(C152,Table8[],2,0)</f>
        <v>1102500</v>
      </c>
      <c r="K152">
        <f>ROUND(J152*VLOOKUP(F152,Sheet3!$A$106:$C$111,2,FALSE),0)</f>
        <v>330750</v>
      </c>
      <c r="L152">
        <f t="shared" si="14"/>
        <v>771750</v>
      </c>
      <c r="M152">
        <f t="shared" si="15"/>
        <v>70</v>
      </c>
      <c r="N152" t="str">
        <f t="shared" si="18"/>
        <v>No</v>
      </c>
      <c r="O152">
        <f t="shared" si="19"/>
        <v>0</v>
      </c>
      <c r="P152" t="str">
        <f t="shared" si="20"/>
        <v>None</v>
      </c>
      <c r="Q152" t="s">
        <v>124</v>
      </c>
    </row>
    <row r="153" spans="1:17" x14ac:dyDescent="0.3">
      <c r="A153">
        <v>152</v>
      </c>
      <c r="B153" t="s">
        <v>17</v>
      </c>
      <c r="C153" s="1">
        <v>45717</v>
      </c>
      <c r="D153" t="s">
        <v>28</v>
      </c>
      <c r="E153" t="s">
        <v>31</v>
      </c>
      <c r="F153" s="2" t="s">
        <v>36</v>
      </c>
      <c r="G153" t="str">
        <f t="shared" si="16"/>
        <v>Eden Juicy Apple 01-USA</v>
      </c>
      <c r="H153">
        <f t="shared" si="17"/>
        <v>6000</v>
      </c>
      <c r="I153">
        <f>VLOOKUP(G153,Table4[[SKU-COUNTRY2]:[Price in USD]],2,FALSE)</f>
        <v>105</v>
      </c>
      <c r="J153">
        <f>VLOOKUP(G153,Sheet3!$C$82:$I$100,MATCH(E153,Sheet3!C$82:H$82,0),FALSE) * VLOOKUP(C153,Table8[],2,0)</f>
        <v>630000</v>
      </c>
      <c r="K153">
        <f>ROUND(J153*VLOOKUP(F153,Sheet3!$A$106:$C$111,2,FALSE),0)</f>
        <v>195300</v>
      </c>
      <c r="L153">
        <f t="shared" si="14"/>
        <v>434700</v>
      </c>
      <c r="M153">
        <f t="shared" si="15"/>
        <v>69</v>
      </c>
      <c r="N153" t="str">
        <f t="shared" si="18"/>
        <v>No</v>
      </c>
      <c r="O153">
        <f t="shared" si="19"/>
        <v>0</v>
      </c>
      <c r="P153" t="str">
        <f t="shared" si="20"/>
        <v>None</v>
      </c>
      <c r="Q153" t="s">
        <v>124</v>
      </c>
    </row>
    <row r="154" spans="1:17" x14ac:dyDescent="0.3">
      <c r="A154">
        <v>153</v>
      </c>
      <c r="B154" t="s">
        <v>17</v>
      </c>
      <c r="C154" s="1">
        <v>45717</v>
      </c>
      <c r="D154" t="s">
        <v>28</v>
      </c>
      <c r="E154" t="s">
        <v>31</v>
      </c>
      <c r="F154" s="2" t="s">
        <v>37</v>
      </c>
      <c r="G154" t="str">
        <f t="shared" si="16"/>
        <v>Oudgasm Tobacco Oud 04-USA</v>
      </c>
      <c r="H154">
        <f t="shared" si="17"/>
        <v>4050</v>
      </c>
      <c r="I154">
        <f>VLOOKUP(G154,Table4[[SKU-COUNTRY2]:[Price in USD]],2,FALSE)</f>
        <v>140</v>
      </c>
      <c r="J154">
        <f>VLOOKUP(G154,Sheet3!$C$82:$I$100,MATCH(E154,Sheet3!C$82:H$82,0),FALSE) * VLOOKUP(C154,Table8[],2,0)</f>
        <v>567000</v>
      </c>
      <c r="K154">
        <f>ROUND(J154*VLOOKUP(F154,Sheet3!$A$106:$C$111,2,FALSE),0)</f>
        <v>198450</v>
      </c>
      <c r="L154">
        <f t="shared" si="14"/>
        <v>368550</v>
      </c>
      <c r="M154">
        <f t="shared" si="15"/>
        <v>65</v>
      </c>
      <c r="N154" t="str">
        <f t="shared" si="18"/>
        <v>No</v>
      </c>
      <c r="O154">
        <f t="shared" si="19"/>
        <v>0</v>
      </c>
      <c r="P154" t="str">
        <f t="shared" si="20"/>
        <v>None</v>
      </c>
      <c r="Q154" t="s">
        <v>124</v>
      </c>
    </row>
    <row r="155" spans="1:17" x14ac:dyDescent="0.3">
      <c r="A155">
        <v>154</v>
      </c>
      <c r="B155" t="s">
        <v>17</v>
      </c>
      <c r="C155" s="1">
        <v>45717</v>
      </c>
      <c r="D155" t="s">
        <v>28</v>
      </c>
      <c r="E155" t="s">
        <v>31</v>
      </c>
      <c r="F155" s="2" t="s">
        <v>38</v>
      </c>
      <c r="G155" t="str">
        <f t="shared" si="16"/>
        <v>Yum Pistachio Gelato 33-USA</v>
      </c>
      <c r="H155">
        <f t="shared" si="17"/>
        <v>3600</v>
      </c>
      <c r="I155">
        <f>VLOOKUP(G155,Table4[[SKU-COUNTRY2]:[Price in USD]],2,FALSE)</f>
        <v>105</v>
      </c>
      <c r="J155">
        <f>VLOOKUP(G155,Sheet3!$C$82:$I$100,MATCH(E155,Sheet3!C$82:H$82,0),FALSE) * VLOOKUP(C155,Table8[],2,0)</f>
        <v>378000</v>
      </c>
      <c r="K155">
        <f>ROUND(J155*VLOOKUP(F155,Sheet3!$A$106:$C$111,2,FALSE),0)</f>
        <v>117180</v>
      </c>
      <c r="L155">
        <f t="shared" si="14"/>
        <v>260820</v>
      </c>
      <c r="M155">
        <f t="shared" si="15"/>
        <v>69</v>
      </c>
      <c r="N155" t="str">
        <f t="shared" si="18"/>
        <v>No</v>
      </c>
      <c r="O155">
        <f t="shared" si="19"/>
        <v>0</v>
      </c>
      <c r="P155" t="str">
        <f t="shared" si="20"/>
        <v>None</v>
      </c>
      <c r="Q155" t="s">
        <v>124</v>
      </c>
    </row>
    <row r="156" spans="1:17" x14ac:dyDescent="0.3">
      <c r="A156">
        <v>155</v>
      </c>
      <c r="B156" t="s">
        <v>17</v>
      </c>
      <c r="C156" s="1">
        <v>45717</v>
      </c>
      <c r="D156" t="s">
        <v>28</v>
      </c>
      <c r="E156" t="s">
        <v>31</v>
      </c>
      <c r="F156" s="2" t="s">
        <v>39</v>
      </c>
      <c r="G156" t="str">
        <f t="shared" si="16"/>
        <v>Freedom Musk Santal 34-USA</v>
      </c>
      <c r="H156">
        <f t="shared" si="17"/>
        <v>3000</v>
      </c>
      <c r="I156">
        <f>VLOOKUP(G156,Table4[[SKU-COUNTRY2]:[Price in USD]],2,FALSE)</f>
        <v>105</v>
      </c>
      <c r="J156">
        <f>VLOOKUP(G156,Sheet3!$C$82:$I$100,MATCH(E156,Sheet3!C$82:H$82,0),FALSE) * VLOOKUP(C156,Table8[],2,0)</f>
        <v>315000</v>
      </c>
      <c r="K156">
        <f>ROUND(J156*VLOOKUP(F156,Sheet3!$A$106:$C$111,2,FALSE),0)</f>
        <v>100800</v>
      </c>
      <c r="L156">
        <f t="shared" si="14"/>
        <v>214200</v>
      </c>
      <c r="M156">
        <f t="shared" si="15"/>
        <v>68</v>
      </c>
      <c r="N156" t="str">
        <f t="shared" si="18"/>
        <v>No</v>
      </c>
      <c r="O156">
        <f t="shared" si="19"/>
        <v>0</v>
      </c>
      <c r="P156" t="str">
        <f t="shared" si="20"/>
        <v>None</v>
      </c>
      <c r="Q156" t="s">
        <v>124</v>
      </c>
    </row>
    <row r="157" spans="1:17" x14ac:dyDescent="0.3">
      <c r="A157">
        <v>156</v>
      </c>
      <c r="B157" t="s">
        <v>17</v>
      </c>
      <c r="C157" s="1">
        <v>45717</v>
      </c>
      <c r="D157" t="s">
        <v>28</v>
      </c>
      <c r="E157" t="s">
        <v>31</v>
      </c>
      <c r="F157" s="2" t="s">
        <v>40</v>
      </c>
      <c r="G157" t="str">
        <f t="shared" si="16"/>
        <v>Musk 12-USA</v>
      </c>
      <c r="H157">
        <f t="shared" si="17"/>
        <v>1500</v>
      </c>
      <c r="I157">
        <f>VLOOKUP(G157,Table4[[SKU-COUNTRY2]:[Price in USD]],2,FALSE)</f>
        <v>105</v>
      </c>
      <c r="J157">
        <f>VLOOKUP(G157,Sheet3!$C$82:$I$100,MATCH(E157,Sheet3!C$82:H$82,0),FALSE) * VLOOKUP(C157,Table8[],2,0)</f>
        <v>157500</v>
      </c>
      <c r="K157">
        <f>ROUND(J157*VLOOKUP(F157,Sheet3!$A$106:$C$111,2,FALSE),0)</f>
        <v>47250</v>
      </c>
      <c r="L157">
        <f t="shared" si="14"/>
        <v>110250</v>
      </c>
      <c r="M157">
        <f t="shared" si="15"/>
        <v>70</v>
      </c>
      <c r="N157" t="str">
        <f t="shared" si="18"/>
        <v>No</v>
      </c>
      <c r="O157">
        <f t="shared" si="19"/>
        <v>0</v>
      </c>
      <c r="P157" t="str">
        <f t="shared" si="20"/>
        <v>None</v>
      </c>
      <c r="Q157" t="s">
        <v>124</v>
      </c>
    </row>
    <row r="158" spans="1:17" x14ac:dyDescent="0.3">
      <c r="A158">
        <v>157</v>
      </c>
      <c r="B158" t="s">
        <v>17</v>
      </c>
      <c r="C158" s="1">
        <v>45717</v>
      </c>
      <c r="D158" t="s">
        <v>28</v>
      </c>
      <c r="E158" t="s">
        <v>33</v>
      </c>
      <c r="F158" s="2" t="s">
        <v>35</v>
      </c>
      <c r="G158" t="str">
        <f t="shared" si="16"/>
        <v>Vanilla 28-USA</v>
      </c>
      <c r="H158">
        <f t="shared" si="17"/>
        <v>5040</v>
      </c>
      <c r="I158">
        <f>VLOOKUP(G158,Table4[[SKU-COUNTRY2]:[Price in USD]],2,FALSE)</f>
        <v>105</v>
      </c>
      <c r="J158">
        <f>VLOOKUP(G158,Sheet3!$C$82:$I$100,MATCH(E158,Sheet3!C$82:H$82,0),FALSE) * VLOOKUP(C158,Table8[],2,0)</f>
        <v>529200</v>
      </c>
      <c r="K158">
        <f>ROUND(J158*VLOOKUP(F158,Sheet3!$A$106:$C$111,2,FALSE),0)</f>
        <v>158760</v>
      </c>
      <c r="L158">
        <f t="shared" si="14"/>
        <v>370440</v>
      </c>
      <c r="M158">
        <f t="shared" si="15"/>
        <v>70</v>
      </c>
      <c r="N158" t="str">
        <f t="shared" si="18"/>
        <v>No</v>
      </c>
      <c r="O158">
        <f t="shared" si="19"/>
        <v>0</v>
      </c>
      <c r="P158" t="str">
        <f t="shared" si="20"/>
        <v>None</v>
      </c>
      <c r="Q158" t="s">
        <v>124</v>
      </c>
    </row>
    <row r="159" spans="1:17" x14ac:dyDescent="0.3">
      <c r="A159">
        <v>158</v>
      </c>
      <c r="B159" t="s">
        <v>17</v>
      </c>
      <c r="C159" s="1">
        <v>45717</v>
      </c>
      <c r="D159" t="s">
        <v>28</v>
      </c>
      <c r="E159" t="s">
        <v>33</v>
      </c>
      <c r="F159" s="2" t="s">
        <v>36</v>
      </c>
      <c r="G159" t="str">
        <f t="shared" si="16"/>
        <v>Eden Juicy Apple 01-USA</v>
      </c>
      <c r="H159">
        <f t="shared" si="17"/>
        <v>2880</v>
      </c>
      <c r="I159">
        <f>VLOOKUP(G159,Table4[[SKU-COUNTRY2]:[Price in USD]],2,FALSE)</f>
        <v>105</v>
      </c>
      <c r="J159">
        <f>VLOOKUP(G159,Sheet3!$C$82:$I$100,MATCH(E159,Sheet3!C$82:H$82,0),FALSE) * VLOOKUP(C159,Table8[],2,0)</f>
        <v>302400</v>
      </c>
      <c r="K159">
        <f>ROUND(J159*VLOOKUP(F159,Sheet3!$A$106:$C$111,2,FALSE),0)</f>
        <v>93744</v>
      </c>
      <c r="L159">
        <f t="shared" si="14"/>
        <v>208656</v>
      </c>
      <c r="M159">
        <f t="shared" si="15"/>
        <v>69</v>
      </c>
      <c r="N159" t="str">
        <f t="shared" si="18"/>
        <v>No</v>
      </c>
      <c r="O159">
        <f t="shared" si="19"/>
        <v>0</v>
      </c>
      <c r="P159" t="str">
        <f t="shared" si="20"/>
        <v>None</v>
      </c>
      <c r="Q159" t="s">
        <v>124</v>
      </c>
    </row>
    <row r="160" spans="1:17" x14ac:dyDescent="0.3">
      <c r="A160">
        <v>159</v>
      </c>
      <c r="B160" t="s">
        <v>17</v>
      </c>
      <c r="C160" s="1">
        <v>45717</v>
      </c>
      <c r="D160" t="s">
        <v>28</v>
      </c>
      <c r="E160" t="s">
        <v>33</v>
      </c>
      <c r="F160" s="2" t="s">
        <v>37</v>
      </c>
      <c r="G160" t="str">
        <f t="shared" si="16"/>
        <v>Oudgasm Tobacco Oud 04-USA</v>
      </c>
      <c r="H160">
        <f t="shared" si="17"/>
        <v>1944</v>
      </c>
      <c r="I160">
        <f>VLOOKUP(G160,Table4[[SKU-COUNTRY2]:[Price in USD]],2,FALSE)</f>
        <v>140</v>
      </c>
      <c r="J160">
        <f>VLOOKUP(G160,Sheet3!$C$82:$I$100,MATCH(E160,Sheet3!C$82:H$82,0),FALSE) * VLOOKUP(C160,Table8[],2,0)</f>
        <v>272160</v>
      </c>
      <c r="K160">
        <f>ROUND(J160*VLOOKUP(F160,Sheet3!$A$106:$C$111,2,FALSE),0)</f>
        <v>95256</v>
      </c>
      <c r="L160">
        <f t="shared" si="14"/>
        <v>176904</v>
      </c>
      <c r="M160">
        <f t="shared" si="15"/>
        <v>65</v>
      </c>
      <c r="N160" t="str">
        <f t="shared" si="18"/>
        <v>No</v>
      </c>
      <c r="O160">
        <f t="shared" si="19"/>
        <v>0</v>
      </c>
      <c r="P160" t="str">
        <f t="shared" si="20"/>
        <v>None</v>
      </c>
      <c r="Q160" t="s">
        <v>124</v>
      </c>
    </row>
    <row r="161" spans="1:17" x14ac:dyDescent="0.3">
      <c r="A161">
        <v>160</v>
      </c>
      <c r="B161" t="s">
        <v>17</v>
      </c>
      <c r="C161" s="1">
        <v>45717</v>
      </c>
      <c r="D161" t="s">
        <v>28</v>
      </c>
      <c r="E161" t="s">
        <v>33</v>
      </c>
      <c r="F161" s="2" t="s">
        <v>38</v>
      </c>
      <c r="G161" t="str">
        <f t="shared" si="16"/>
        <v>Yum Pistachio Gelato 33-USA</v>
      </c>
      <c r="H161">
        <f t="shared" si="17"/>
        <v>1728</v>
      </c>
      <c r="I161">
        <f>VLOOKUP(G161,Table4[[SKU-COUNTRY2]:[Price in USD]],2,FALSE)</f>
        <v>105</v>
      </c>
      <c r="J161">
        <f>VLOOKUP(G161,Sheet3!$C$82:$I$100,MATCH(E161,Sheet3!C$82:H$82,0),FALSE) * VLOOKUP(C161,Table8[],2,0)</f>
        <v>181440</v>
      </c>
      <c r="K161">
        <f>ROUND(J161*VLOOKUP(F161,Sheet3!$A$106:$C$111,2,FALSE),0)</f>
        <v>56246</v>
      </c>
      <c r="L161">
        <f t="shared" si="14"/>
        <v>125194</v>
      </c>
      <c r="M161">
        <f t="shared" si="15"/>
        <v>69</v>
      </c>
      <c r="N161" t="str">
        <f t="shared" si="18"/>
        <v>No</v>
      </c>
      <c r="O161">
        <f t="shared" si="19"/>
        <v>0</v>
      </c>
      <c r="P161" t="str">
        <f t="shared" si="20"/>
        <v>None</v>
      </c>
      <c r="Q161" t="s">
        <v>124</v>
      </c>
    </row>
    <row r="162" spans="1:17" x14ac:dyDescent="0.3">
      <c r="A162">
        <v>161</v>
      </c>
      <c r="B162" t="s">
        <v>17</v>
      </c>
      <c r="C162" s="1">
        <v>45717</v>
      </c>
      <c r="D162" t="s">
        <v>28</v>
      </c>
      <c r="E162" t="s">
        <v>33</v>
      </c>
      <c r="F162" s="2" t="s">
        <v>39</v>
      </c>
      <c r="G162" t="str">
        <f t="shared" si="16"/>
        <v>Freedom Musk Santal 34-USA</v>
      </c>
      <c r="H162">
        <f t="shared" si="17"/>
        <v>1440</v>
      </c>
      <c r="I162">
        <f>VLOOKUP(G162,Table4[[SKU-COUNTRY2]:[Price in USD]],2,FALSE)</f>
        <v>105</v>
      </c>
      <c r="J162">
        <f>VLOOKUP(G162,Sheet3!$C$82:$I$100,MATCH(E162,Sheet3!C$82:H$82,0),FALSE) * VLOOKUP(C162,Table8[],2,0)</f>
        <v>151200</v>
      </c>
      <c r="K162">
        <f>ROUND(J162*VLOOKUP(F162,Sheet3!$A$106:$C$111,2,FALSE),0)</f>
        <v>48384</v>
      </c>
      <c r="L162">
        <f t="shared" si="14"/>
        <v>102816</v>
      </c>
      <c r="M162">
        <f t="shared" si="15"/>
        <v>68</v>
      </c>
      <c r="N162" t="str">
        <f t="shared" si="18"/>
        <v>No</v>
      </c>
      <c r="O162">
        <f t="shared" si="19"/>
        <v>0</v>
      </c>
      <c r="P162" t="str">
        <f t="shared" si="20"/>
        <v>None</v>
      </c>
      <c r="Q162" t="s">
        <v>124</v>
      </c>
    </row>
    <row r="163" spans="1:17" x14ac:dyDescent="0.3">
      <c r="A163">
        <v>162</v>
      </c>
      <c r="B163" t="s">
        <v>17</v>
      </c>
      <c r="C163" s="1">
        <v>45717</v>
      </c>
      <c r="D163" t="s">
        <v>28</v>
      </c>
      <c r="E163" t="s">
        <v>33</v>
      </c>
      <c r="F163" s="2" t="s">
        <v>40</v>
      </c>
      <c r="G163" t="str">
        <f t="shared" si="16"/>
        <v>Musk 12-USA</v>
      </c>
      <c r="H163">
        <f t="shared" si="17"/>
        <v>720</v>
      </c>
      <c r="I163">
        <f>VLOOKUP(G163,Table4[[SKU-COUNTRY2]:[Price in USD]],2,FALSE)</f>
        <v>105</v>
      </c>
      <c r="J163">
        <f>VLOOKUP(G163,Sheet3!$C$82:$I$100,MATCH(E163,Sheet3!C$82:H$82,0),FALSE) * VLOOKUP(C163,Table8[],2,0)</f>
        <v>75600</v>
      </c>
      <c r="K163">
        <f>ROUND(J163*VLOOKUP(F163,Sheet3!$A$106:$C$111,2,FALSE),0)</f>
        <v>22680</v>
      </c>
      <c r="L163">
        <f t="shared" si="14"/>
        <v>52920</v>
      </c>
      <c r="M163">
        <f t="shared" si="15"/>
        <v>70</v>
      </c>
      <c r="N163" t="str">
        <f t="shared" si="18"/>
        <v>No</v>
      </c>
      <c r="O163">
        <f t="shared" si="19"/>
        <v>0</v>
      </c>
      <c r="P163" t="str">
        <f t="shared" si="20"/>
        <v>None</v>
      </c>
      <c r="Q163" t="s">
        <v>124</v>
      </c>
    </row>
    <row r="164" spans="1:17" x14ac:dyDescent="0.3">
      <c r="A164">
        <v>163</v>
      </c>
      <c r="B164" t="s">
        <v>17</v>
      </c>
      <c r="C164" s="1">
        <v>45717</v>
      </c>
      <c r="D164" t="s">
        <v>28</v>
      </c>
      <c r="E164" t="s">
        <v>34</v>
      </c>
      <c r="F164" s="2" t="s">
        <v>35</v>
      </c>
      <c r="G164" t="str">
        <f t="shared" si="16"/>
        <v>Vanilla 28-USA</v>
      </c>
      <c r="H164">
        <f t="shared" si="17"/>
        <v>3360</v>
      </c>
      <c r="I164">
        <f>VLOOKUP(G164,Table4[[SKU-COUNTRY2]:[Price in USD]],2,FALSE)</f>
        <v>105</v>
      </c>
      <c r="J164">
        <f>VLOOKUP(G164,Sheet3!$C$82:$I$100,MATCH(E164,Sheet3!C$82:H$82,0),FALSE) * VLOOKUP(C164,Table8[],2,0)</f>
        <v>352800</v>
      </c>
      <c r="K164">
        <f>ROUND(J164*VLOOKUP(F164,Sheet3!$A$106:$C$111,2,FALSE),0)</f>
        <v>105840</v>
      </c>
      <c r="L164">
        <f t="shared" si="14"/>
        <v>246960</v>
      </c>
      <c r="M164">
        <f t="shared" si="15"/>
        <v>70</v>
      </c>
      <c r="N164" t="str">
        <f t="shared" si="18"/>
        <v>No</v>
      </c>
      <c r="O164">
        <f t="shared" si="19"/>
        <v>0</v>
      </c>
      <c r="P164" t="str">
        <f t="shared" si="20"/>
        <v>None</v>
      </c>
      <c r="Q164" t="s">
        <v>124</v>
      </c>
    </row>
    <row r="165" spans="1:17" x14ac:dyDescent="0.3">
      <c r="A165">
        <v>164</v>
      </c>
      <c r="B165" t="s">
        <v>17</v>
      </c>
      <c r="C165" s="1">
        <v>45717</v>
      </c>
      <c r="D165" t="s">
        <v>28</v>
      </c>
      <c r="E165" t="s">
        <v>34</v>
      </c>
      <c r="F165" s="2" t="s">
        <v>36</v>
      </c>
      <c r="G165" t="str">
        <f t="shared" si="16"/>
        <v>Eden Juicy Apple 01-USA</v>
      </c>
      <c r="H165">
        <f t="shared" si="17"/>
        <v>1920</v>
      </c>
      <c r="I165">
        <f>VLOOKUP(G165,Table4[[SKU-COUNTRY2]:[Price in USD]],2,FALSE)</f>
        <v>105</v>
      </c>
      <c r="J165">
        <f>VLOOKUP(G165,Sheet3!$C$82:$I$100,MATCH(E165,Sheet3!C$82:H$82,0),FALSE) * VLOOKUP(C165,Table8[],2,0)</f>
        <v>201600</v>
      </c>
      <c r="K165">
        <f>ROUND(J165*VLOOKUP(F165,Sheet3!$A$106:$C$111,2,FALSE),0)</f>
        <v>62496</v>
      </c>
      <c r="L165">
        <f t="shared" si="14"/>
        <v>139104</v>
      </c>
      <c r="M165">
        <f t="shared" si="15"/>
        <v>69</v>
      </c>
      <c r="N165" t="str">
        <f t="shared" si="18"/>
        <v>No</v>
      </c>
      <c r="O165">
        <f t="shared" si="19"/>
        <v>0</v>
      </c>
      <c r="P165" t="str">
        <f t="shared" si="20"/>
        <v>None</v>
      </c>
      <c r="Q165" t="s">
        <v>124</v>
      </c>
    </row>
    <row r="166" spans="1:17" x14ac:dyDescent="0.3">
      <c r="A166">
        <v>165</v>
      </c>
      <c r="B166" t="s">
        <v>17</v>
      </c>
      <c r="C166" s="1">
        <v>45717</v>
      </c>
      <c r="D166" t="s">
        <v>28</v>
      </c>
      <c r="E166" t="s">
        <v>34</v>
      </c>
      <c r="F166" s="2" t="s">
        <v>37</v>
      </c>
      <c r="G166" t="str">
        <f t="shared" si="16"/>
        <v>Oudgasm Tobacco Oud 04-USA</v>
      </c>
      <c r="H166">
        <f t="shared" si="17"/>
        <v>1296</v>
      </c>
      <c r="I166">
        <f>VLOOKUP(G166,Table4[[SKU-COUNTRY2]:[Price in USD]],2,FALSE)</f>
        <v>140</v>
      </c>
      <c r="J166">
        <f>VLOOKUP(G166,Sheet3!$C$82:$I$100,MATCH(E166,Sheet3!C$82:H$82,0),FALSE) * VLOOKUP(C166,Table8[],2,0)</f>
        <v>181440</v>
      </c>
      <c r="K166">
        <f>ROUND(J166*VLOOKUP(F166,Sheet3!$A$106:$C$111,2,FALSE),0)</f>
        <v>63504</v>
      </c>
      <c r="L166">
        <f t="shared" si="14"/>
        <v>117936</v>
      </c>
      <c r="M166">
        <f t="shared" si="15"/>
        <v>65</v>
      </c>
      <c r="N166" t="str">
        <f t="shared" si="18"/>
        <v>No</v>
      </c>
      <c r="O166">
        <f t="shared" si="19"/>
        <v>0</v>
      </c>
      <c r="P166" t="str">
        <f t="shared" si="20"/>
        <v>None</v>
      </c>
      <c r="Q166" t="s">
        <v>124</v>
      </c>
    </row>
    <row r="167" spans="1:17" x14ac:dyDescent="0.3">
      <c r="A167">
        <v>166</v>
      </c>
      <c r="B167" t="s">
        <v>17</v>
      </c>
      <c r="C167" s="1">
        <v>45717</v>
      </c>
      <c r="D167" t="s">
        <v>28</v>
      </c>
      <c r="E167" t="s">
        <v>34</v>
      </c>
      <c r="F167" s="2" t="s">
        <v>38</v>
      </c>
      <c r="G167" t="str">
        <f t="shared" si="16"/>
        <v>Yum Pistachio Gelato 33-USA</v>
      </c>
      <c r="H167">
        <f t="shared" si="17"/>
        <v>1152</v>
      </c>
      <c r="I167">
        <f>VLOOKUP(G167,Table4[[SKU-COUNTRY2]:[Price in USD]],2,FALSE)</f>
        <v>105</v>
      </c>
      <c r="J167">
        <f>VLOOKUP(G167,Sheet3!$C$82:$I$100,MATCH(E167,Sheet3!C$82:H$82,0),FALSE) * VLOOKUP(C167,Table8[],2,0)</f>
        <v>120960</v>
      </c>
      <c r="K167">
        <f>ROUND(J167*VLOOKUP(F167,Sheet3!$A$106:$C$111,2,FALSE),0)</f>
        <v>37498</v>
      </c>
      <c r="L167">
        <f t="shared" si="14"/>
        <v>83462</v>
      </c>
      <c r="M167">
        <f t="shared" si="15"/>
        <v>69</v>
      </c>
      <c r="N167" t="str">
        <f t="shared" si="18"/>
        <v>No</v>
      </c>
      <c r="O167">
        <f t="shared" si="19"/>
        <v>0</v>
      </c>
      <c r="P167" t="str">
        <f t="shared" si="20"/>
        <v>None</v>
      </c>
      <c r="Q167" t="s">
        <v>124</v>
      </c>
    </row>
    <row r="168" spans="1:17" x14ac:dyDescent="0.3">
      <c r="A168">
        <v>167</v>
      </c>
      <c r="B168" t="s">
        <v>17</v>
      </c>
      <c r="C168" s="1">
        <v>45717</v>
      </c>
      <c r="D168" t="s">
        <v>28</v>
      </c>
      <c r="E168" t="s">
        <v>34</v>
      </c>
      <c r="F168" s="2" t="s">
        <v>39</v>
      </c>
      <c r="G168" t="str">
        <f t="shared" si="16"/>
        <v>Freedom Musk Santal 34-USA</v>
      </c>
      <c r="H168">
        <f t="shared" si="17"/>
        <v>960</v>
      </c>
      <c r="I168">
        <f>VLOOKUP(G168,Table4[[SKU-COUNTRY2]:[Price in USD]],2,FALSE)</f>
        <v>105</v>
      </c>
      <c r="J168">
        <f>VLOOKUP(G168,Sheet3!$C$82:$I$100,MATCH(E168,Sheet3!C$82:H$82,0),FALSE) * VLOOKUP(C168,Table8[],2,0)</f>
        <v>100800</v>
      </c>
      <c r="K168">
        <f>ROUND(J168*VLOOKUP(F168,Sheet3!$A$106:$C$111,2,FALSE),0)</f>
        <v>32256</v>
      </c>
      <c r="L168">
        <f t="shared" si="14"/>
        <v>68544</v>
      </c>
      <c r="M168">
        <f t="shared" si="15"/>
        <v>68</v>
      </c>
      <c r="N168" t="str">
        <f t="shared" si="18"/>
        <v>No</v>
      </c>
      <c r="O168">
        <f t="shared" si="19"/>
        <v>0</v>
      </c>
      <c r="P168" t="str">
        <f t="shared" si="20"/>
        <v>None</v>
      </c>
      <c r="Q168" t="s">
        <v>124</v>
      </c>
    </row>
    <row r="169" spans="1:17" x14ac:dyDescent="0.3">
      <c r="A169">
        <v>168</v>
      </c>
      <c r="B169" t="s">
        <v>17</v>
      </c>
      <c r="C169" s="1">
        <v>45717</v>
      </c>
      <c r="D169" t="s">
        <v>28</v>
      </c>
      <c r="E169" t="s">
        <v>34</v>
      </c>
      <c r="F169" s="2" t="s">
        <v>40</v>
      </c>
      <c r="G169" t="str">
        <f t="shared" si="16"/>
        <v>Musk 12-USA</v>
      </c>
      <c r="H169">
        <f t="shared" si="17"/>
        <v>480</v>
      </c>
      <c r="I169">
        <f>VLOOKUP(G169,Table4[[SKU-COUNTRY2]:[Price in USD]],2,FALSE)</f>
        <v>105</v>
      </c>
      <c r="J169">
        <f>VLOOKUP(G169,Sheet3!$C$82:$I$100,MATCH(E169,Sheet3!C$82:H$82,0),FALSE) * VLOOKUP(C169,Table8[],2,0)</f>
        <v>50400</v>
      </c>
      <c r="K169">
        <f>ROUND(J169*VLOOKUP(F169,Sheet3!$A$106:$C$111,2,FALSE),0)</f>
        <v>15120</v>
      </c>
      <c r="L169">
        <f t="shared" si="14"/>
        <v>35280</v>
      </c>
      <c r="M169">
        <f t="shared" si="15"/>
        <v>70</v>
      </c>
      <c r="N169" t="str">
        <f t="shared" si="18"/>
        <v>No</v>
      </c>
      <c r="O169">
        <f t="shared" si="19"/>
        <v>0</v>
      </c>
      <c r="P169" t="str">
        <f t="shared" si="20"/>
        <v>None</v>
      </c>
      <c r="Q169" t="s">
        <v>124</v>
      </c>
    </row>
    <row r="170" spans="1:17" x14ac:dyDescent="0.3">
      <c r="A170">
        <v>169</v>
      </c>
      <c r="B170" t="s">
        <v>17</v>
      </c>
      <c r="C170" s="1">
        <v>45717</v>
      </c>
      <c r="D170" t="s">
        <v>27</v>
      </c>
      <c r="E170" t="s">
        <v>32</v>
      </c>
      <c r="F170" s="2" t="s">
        <v>35</v>
      </c>
      <c r="G170" t="str">
        <f t="shared" si="16"/>
        <v>Vanilla 28-UK</v>
      </c>
      <c r="H170">
        <f t="shared" si="17"/>
        <v>2126</v>
      </c>
      <c r="I170">
        <f>VLOOKUP(G170,Table4[[SKU-COUNTRY2]:[Price in USD]],2,FALSE)</f>
        <v>101.6</v>
      </c>
      <c r="J170">
        <f>VLOOKUP(G170,Sheet3!$C$82:$I$100,MATCH(E170,Sheet3!C$82:H$82,0),FALSE) * VLOOKUP(C170,Table8[],2,0)</f>
        <v>216000</v>
      </c>
      <c r="K170">
        <f>ROUND(J170*VLOOKUP(F170,Sheet3!$A$106:$C$111,2,FALSE),0)</f>
        <v>64800</v>
      </c>
      <c r="L170">
        <f t="shared" si="14"/>
        <v>151200</v>
      </c>
      <c r="M170">
        <f t="shared" si="15"/>
        <v>70</v>
      </c>
      <c r="N170" t="str">
        <f t="shared" si="18"/>
        <v>No</v>
      </c>
      <c r="O170">
        <f t="shared" si="19"/>
        <v>0</v>
      </c>
      <c r="P170" t="str">
        <f t="shared" si="20"/>
        <v>None</v>
      </c>
      <c r="Q170" t="s">
        <v>124</v>
      </c>
    </row>
    <row r="171" spans="1:17" x14ac:dyDescent="0.3">
      <c r="A171">
        <v>170</v>
      </c>
      <c r="B171" t="s">
        <v>17</v>
      </c>
      <c r="C171" s="1">
        <v>45717</v>
      </c>
      <c r="D171" t="s">
        <v>27</v>
      </c>
      <c r="E171" t="s">
        <v>32</v>
      </c>
      <c r="F171" s="2" t="s">
        <v>36</v>
      </c>
      <c r="G171" t="str">
        <f t="shared" si="16"/>
        <v>Eden Juicy Apple 01-UK</v>
      </c>
      <c r="H171">
        <f t="shared" si="17"/>
        <v>1559</v>
      </c>
      <c r="I171">
        <f>VLOOKUP(G171,Table4[[SKU-COUNTRY2]:[Price in USD]],2,FALSE)</f>
        <v>101.6</v>
      </c>
      <c r="J171">
        <f>VLOOKUP(G171,Sheet3!$C$82:$I$100,MATCH(E171,Sheet3!C$82:H$82,0),FALSE) * VLOOKUP(C171,Table8[],2,0)</f>
        <v>158400</v>
      </c>
      <c r="K171">
        <f>ROUND(J171*VLOOKUP(F171,Sheet3!$A$106:$C$111,2,FALSE),0)</f>
        <v>49104</v>
      </c>
      <c r="L171">
        <f t="shared" si="14"/>
        <v>109296</v>
      </c>
      <c r="M171">
        <f t="shared" si="15"/>
        <v>69</v>
      </c>
      <c r="N171" t="str">
        <f t="shared" si="18"/>
        <v>No</v>
      </c>
      <c r="O171">
        <f t="shared" si="19"/>
        <v>0</v>
      </c>
      <c r="P171" t="str">
        <f t="shared" si="20"/>
        <v>None</v>
      </c>
      <c r="Q171" t="s">
        <v>124</v>
      </c>
    </row>
    <row r="172" spans="1:17" x14ac:dyDescent="0.3">
      <c r="A172">
        <v>171</v>
      </c>
      <c r="B172" t="s">
        <v>17</v>
      </c>
      <c r="C172" s="1">
        <v>45717</v>
      </c>
      <c r="D172" t="s">
        <v>27</v>
      </c>
      <c r="E172" t="s">
        <v>32</v>
      </c>
      <c r="F172" s="2" t="s">
        <v>37</v>
      </c>
      <c r="G172" t="str">
        <f t="shared" si="16"/>
        <v>Oudgasm Tobacco Oud 04-UK</v>
      </c>
      <c r="H172">
        <f t="shared" si="17"/>
        <v>858</v>
      </c>
      <c r="I172">
        <f>VLOOKUP(G172,Table4[[SKU-COUNTRY2]:[Price in USD]],2,FALSE)</f>
        <v>151.13</v>
      </c>
      <c r="J172">
        <f>VLOOKUP(G172,Sheet3!$C$82:$I$100,MATCH(E172,Sheet3!C$82:H$82,0),FALSE) * VLOOKUP(C172,Table8[],2,0)</f>
        <v>129600</v>
      </c>
      <c r="K172">
        <f>ROUND(J172*VLOOKUP(F172,Sheet3!$A$106:$C$111,2,FALSE),0)</f>
        <v>45360</v>
      </c>
      <c r="L172">
        <f t="shared" si="14"/>
        <v>84240</v>
      </c>
      <c r="M172">
        <f t="shared" si="15"/>
        <v>65</v>
      </c>
      <c r="N172" t="str">
        <f t="shared" si="18"/>
        <v>No</v>
      </c>
      <c r="O172">
        <f t="shared" si="19"/>
        <v>0</v>
      </c>
      <c r="P172" t="str">
        <f t="shared" si="20"/>
        <v>None</v>
      </c>
      <c r="Q172" t="s">
        <v>124</v>
      </c>
    </row>
    <row r="173" spans="1:17" x14ac:dyDescent="0.3">
      <c r="A173">
        <v>172</v>
      </c>
      <c r="B173" t="s">
        <v>17</v>
      </c>
      <c r="C173" s="1">
        <v>45717</v>
      </c>
      <c r="D173" t="s">
        <v>27</v>
      </c>
      <c r="E173" t="s">
        <v>32</v>
      </c>
      <c r="F173" s="2" t="s">
        <v>38</v>
      </c>
      <c r="G173" t="str">
        <f t="shared" si="16"/>
        <v>Yum Pistachio Gelato 33-UK</v>
      </c>
      <c r="H173">
        <f t="shared" si="17"/>
        <v>921</v>
      </c>
      <c r="I173">
        <f>VLOOKUP(G173,Table4[[SKU-COUNTRY2]:[Price in USD]],2,FALSE)</f>
        <v>101.6</v>
      </c>
      <c r="J173">
        <f>VLOOKUP(G173,Sheet3!$C$82:$I$100,MATCH(E173,Sheet3!C$82:H$82,0),FALSE) * VLOOKUP(C173,Table8[],2,0)</f>
        <v>93600</v>
      </c>
      <c r="K173">
        <f>ROUND(J173*VLOOKUP(F173,Sheet3!$A$106:$C$111,2,FALSE),0)</f>
        <v>29016</v>
      </c>
      <c r="L173">
        <f t="shared" si="14"/>
        <v>64584</v>
      </c>
      <c r="M173">
        <f t="shared" si="15"/>
        <v>69</v>
      </c>
      <c r="N173" t="str">
        <f t="shared" si="18"/>
        <v>No</v>
      </c>
      <c r="O173">
        <f t="shared" si="19"/>
        <v>0</v>
      </c>
      <c r="P173" t="str">
        <f t="shared" si="20"/>
        <v>None</v>
      </c>
      <c r="Q173" t="s">
        <v>124</v>
      </c>
    </row>
    <row r="174" spans="1:17" x14ac:dyDescent="0.3">
      <c r="A174">
        <v>173</v>
      </c>
      <c r="B174" t="s">
        <v>17</v>
      </c>
      <c r="C174" s="1">
        <v>45717</v>
      </c>
      <c r="D174" t="s">
        <v>27</v>
      </c>
      <c r="E174" t="s">
        <v>32</v>
      </c>
      <c r="F174" s="2" t="s">
        <v>39</v>
      </c>
      <c r="G174" t="str">
        <f t="shared" si="16"/>
        <v>Freedom Musk Santal 34-UK</v>
      </c>
      <c r="H174">
        <f t="shared" si="17"/>
        <v>709</v>
      </c>
      <c r="I174">
        <f>VLOOKUP(G174,Table4[[SKU-COUNTRY2]:[Price in USD]],2,FALSE)</f>
        <v>101.6</v>
      </c>
      <c r="J174">
        <f>VLOOKUP(G174,Sheet3!$C$82:$I$100,MATCH(E174,Sheet3!C$82:H$82,0),FALSE) * VLOOKUP(C174,Table8[],2,0)</f>
        <v>72000</v>
      </c>
      <c r="K174">
        <f>ROUND(J174*VLOOKUP(F174,Sheet3!$A$106:$C$111,2,FALSE),0)</f>
        <v>23040</v>
      </c>
      <c r="L174">
        <f t="shared" si="14"/>
        <v>48960</v>
      </c>
      <c r="M174">
        <f t="shared" si="15"/>
        <v>68</v>
      </c>
      <c r="N174" t="str">
        <f t="shared" si="18"/>
        <v>No</v>
      </c>
      <c r="O174">
        <f t="shared" si="19"/>
        <v>0</v>
      </c>
      <c r="P174" t="str">
        <f t="shared" si="20"/>
        <v>None</v>
      </c>
      <c r="Q174" t="s">
        <v>124</v>
      </c>
    </row>
    <row r="175" spans="1:17" x14ac:dyDescent="0.3">
      <c r="A175">
        <v>174</v>
      </c>
      <c r="B175" t="s">
        <v>17</v>
      </c>
      <c r="C175" s="1">
        <v>45717</v>
      </c>
      <c r="D175" t="s">
        <v>27</v>
      </c>
      <c r="E175" t="s">
        <v>32</v>
      </c>
      <c r="F175" s="2" t="s">
        <v>40</v>
      </c>
      <c r="G175" t="str">
        <f t="shared" si="16"/>
        <v>Musk 12-UK</v>
      </c>
      <c r="H175">
        <f t="shared" si="17"/>
        <v>496</v>
      </c>
      <c r="I175">
        <f>VLOOKUP(G175,Table4[[SKU-COUNTRY2]:[Price in USD]],2,FALSE)</f>
        <v>101.6</v>
      </c>
      <c r="J175">
        <f>VLOOKUP(G175,Sheet3!$C$82:$I$100,MATCH(E175,Sheet3!C$82:H$82,0),FALSE) * VLOOKUP(C175,Table8[],2,0)</f>
        <v>50400.000000000007</v>
      </c>
      <c r="K175">
        <f>ROUND(J175*VLOOKUP(F175,Sheet3!$A$106:$C$111,2,FALSE),0)</f>
        <v>15120</v>
      </c>
      <c r="L175">
        <f t="shared" si="14"/>
        <v>35280.000000000007</v>
      </c>
      <c r="M175">
        <f t="shared" si="15"/>
        <v>70</v>
      </c>
      <c r="N175" t="str">
        <f t="shared" si="18"/>
        <v>No</v>
      </c>
      <c r="O175">
        <f t="shared" si="19"/>
        <v>0</v>
      </c>
      <c r="P175" t="str">
        <f t="shared" si="20"/>
        <v>None</v>
      </c>
      <c r="Q175" t="s">
        <v>124</v>
      </c>
    </row>
    <row r="176" spans="1:17" x14ac:dyDescent="0.3">
      <c r="A176">
        <v>175</v>
      </c>
      <c r="B176" t="s">
        <v>17</v>
      </c>
      <c r="C176" s="1">
        <v>45717</v>
      </c>
      <c r="D176" t="s">
        <v>27</v>
      </c>
      <c r="E176" t="s">
        <v>31</v>
      </c>
      <c r="F176" s="2" t="s">
        <v>35</v>
      </c>
      <c r="G176" t="str">
        <f t="shared" si="16"/>
        <v>Vanilla 28-UK</v>
      </c>
      <c r="H176">
        <f t="shared" si="17"/>
        <v>1063</v>
      </c>
      <c r="I176">
        <f>VLOOKUP(G176,Table4[[SKU-COUNTRY2]:[Price in USD]],2,FALSE)</f>
        <v>101.6</v>
      </c>
      <c r="J176">
        <f>VLOOKUP(G176,Sheet3!$C$82:$I$100,MATCH(E176,Sheet3!C$82:H$82,0),FALSE) * VLOOKUP(C176,Table8[],2,0)</f>
        <v>108000</v>
      </c>
      <c r="K176">
        <f>ROUND(J176*VLOOKUP(F176,Sheet3!$A$106:$C$111,2,FALSE),0)</f>
        <v>32400</v>
      </c>
      <c r="L176">
        <f t="shared" si="14"/>
        <v>75600</v>
      </c>
      <c r="M176">
        <f t="shared" si="15"/>
        <v>70</v>
      </c>
      <c r="N176" t="str">
        <f t="shared" si="18"/>
        <v>No</v>
      </c>
      <c r="O176">
        <f t="shared" si="19"/>
        <v>0</v>
      </c>
      <c r="P176" t="str">
        <f t="shared" si="20"/>
        <v>None</v>
      </c>
      <c r="Q176" t="s">
        <v>124</v>
      </c>
    </row>
    <row r="177" spans="1:17" x14ac:dyDescent="0.3">
      <c r="A177">
        <v>176</v>
      </c>
      <c r="B177" t="s">
        <v>17</v>
      </c>
      <c r="C177" s="1">
        <v>45717</v>
      </c>
      <c r="D177" t="s">
        <v>27</v>
      </c>
      <c r="E177" t="s">
        <v>31</v>
      </c>
      <c r="F177" s="2" t="s">
        <v>36</v>
      </c>
      <c r="G177" t="str">
        <f t="shared" si="16"/>
        <v>Eden Juicy Apple 01-UK</v>
      </c>
      <c r="H177">
        <f t="shared" si="17"/>
        <v>780</v>
      </c>
      <c r="I177">
        <f>VLOOKUP(G177,Table4[[SKU-COUNTRY2]:[Price in USD]],2,FALSE)</f>
        <v>101.6</v>
      </c>
      <c r="J177">
        <f>VLOOKUP(G177,Sheet3!$C$82:$I$100,MATCH(E177,Sheet3!C$82:H$82,0),FALSE) * VLOOKUP(C177,Table8[],2,0)</f>
        <v>79200</v>
      </c>
      <c r="K177">
        <f>ROUND(J177*VLOOKUP(F177,Sheet3!$A$106:$C$111,2,FALSE),0)</f>
        <v>24552</v>
      </c>
      <c r="L177">
        <f t="shared" si="14"/>
        <v>54648</v>
      </c>
      <c r="M177">
        <f t="shared" si="15"/>
        <v>69</v>
      </c>
      <c r="N177" t="str">
        <f t="shared" si="18"/>
        <v>No</v>
      </c>
      <c r="O177">
        <f t="shared" si="19"/>
        <v>0</v>
      </c>
      <c r="P177" t="str">
        <f t="shared" si="20"/>
        <v>None</v>
      </c>
      <c r="Q177" t="s">
        <v>124</v>
      </c>
    </row>
    <row r="178" spans="1:17" x14ac:dyDescent="0.3">
      <c r="A178">
        <v>177</v>
      </c>
      <c r="B178" t="s">
        <v>17</v>
      </c>
      <c r="C178" s="1">
        <v>45717</v>
      </c>
      <c r="D178" t="s">
        <v>27</v>
      </c>
      <c r="E178" t="s">
        <v>31</v>
      </c>
      <c r="F178" s="2" t="s">
        <v>37</v>
      </c>
      <c r="G178" t="str">
        <f t="shared" si="16"/>
        <v>Oudgasm Tobacco Oud 04-UK</v>
      </c>
      <c r="H178">
        <f t="shared" si="17"/>
        <v>429</v>
      </c>
      <c r="I178">
        <f>VLOOKUP(G178,Table4[[SKU-COUNTRY2]:[Price in USD]],2,FALSE)</f>
        <v>151.13</v>
      </c>
      <c r="J178">
        <f>VLOOKUP(G178,Sheet3!$C$82:$I$100,MATCH(E178,Sheet3!C$82:H$82,0),FALSE) * VLOOKUP(C178,Table8[],2,0)</f>
        <v>64800</v>
      </c>
      <c r="K178">
        <f>ROUND(J178*VLOOKUP(F178,Sheet3!$A$106:$C$111,2,FALSE),0)</f>
        <v>22680</v>
      </c>
      <c r="L178">
        <f t="shared" si="14"/>
        <v>42120</v>
      </c>
      <c r="M178">
        <f t="shared" si="15"/>
        <v>65</v>
      </c>
      <c r="N178" t="str">
        <f t="shared" si="18"/>
        <v>No</v>
      </c>
      <c r="O178">
        <f t="shared" si="19"/>
        <v>0</v>
      </c>
      <c r="P178" t="str">
        <f t="shared" si="20"/>
        <v>None</v>
      </c>
      <c r="Q178" t="s">
        <v>124</v>
      </c>
    </row>
    <row r="179" spans="1:17" x14ac:dyDescent="0.3">
      <c r="A179">
        <v>178</v>
      </c>
      <c r="B179" t="s">
        <v>17</v>
      </c>
      <c r="C179" s="1">
        <v>45717</v>
      </c>
      <c r="D179" t="s">
        <v>27</v>
      </c>
      <c r="E179" t="s">
        <v>31</v>
      </c>
      <c r="F179" s="2" t="s">
        <v>38</v>
      </c>
      <c r="G179" t="str">
        <f t="shared" si="16"/>
        <v>Yum Pistachio Gelato 33-UK</v>
      </c>
      <c r="H179">
        <f t="shared" si="17"/>
        <v>461</v>
      </c>
      <c r="I179">
        <f>VLOOKUP(G179,Table4[[SKU-COUNTRY2]:[Price in USD]],2,FALSE)</f>
        <v>101.6</v>
      </c>
      <c r="J179">
        <f>VLOOKUP(G179,Sheet3!$C$82:$I$100,MATCH(E179,Sheet3!C$82:H$82,0),FALSE) * VLOOKUP(C179,Table8[],2,0)</f>
        <v>46800</v>
      </c>
      <c r="K179">
        <f>ROUND(J179*VLOOKUP(F179,Sheet3!$A$106:$C$111,2,FALSE),0)</f>
        <v>14508</v>
      </c>
      <c r="L179">
        <f t="shared" si="14"/>
        <v>32292</v>
      </c>
      <c r="M179">
        <f t="shared" si="15"/>
        <v>69</v>
      </c>
      <c r="N179" t="str">
        <f t="shared" si="18"/>
        <v>No</v>
      </c>
      <c r="O179">
        <f t="shared" si="19"/>
        <v>0</v>
      </c>
      <c r="P179" t="str">
        <f t="shared" si="20"/>
        <v>None</v>
      </c>
      <c r="Q179" t="s">
        <v>124</v>
      </c>
    </row>
    <row r="180" spans="1:17" x14ac:dyDescent="0.3">
      <c r="A180">
        <v>179</v>
      </c>
      <c r="B180" t="s">
        <v>17</v>
      </c>
      <c r="C180" s="1">
        <v>45717</v>
      </c>
      <c r="D180" t="s">
        <v>27</v>
      </c>
      <c r="E180" t="s">
        <v>31</v>
      </c>
      <c r="F180" s="2" t="s">
        <v>39</v>
      </c>
      <c r="G180" t="str">
        <f t="shared" si="16"/>
        <v>Freedom Musk Santal 34-UK</v>
      </c>
      <c r="H180">
        <f t="shared" si="17"/>
        <v>354</v>
      </c>
      <c r="I180">
        <f>VLOOKUP(G180,Table4[[SKU-COUNTRY2]:[Price in USD]],2,FALSE)</f>
        <v>101.6</v>
      </c>
      <c r="J180">
        <f>VLOOKUP(G180,Sheet3!$C$82:$I$100,MATCH(E180,Sheet3!C$82:H$82,0),FALSE) * VLOOKUP(C180,Table8[],2,0)</f>
        <v>36000</v>
      </c>
      <c r="K180">
        <f>ROUND(J180*VLOOKUP(F180,Sheet3!$A$106:$C$111,2,FALSE),0)</f>
        <v>11520</v>
      </c>
      <c r="L180">
        <f t="shared" si="14"/>
        <v>24480</v>
      </c>
      <c r="M180">
        <f t="shared" si="15"/>
        <v>68</v>
      </c>
      <c r="N180" t="str">
        <f t="shared" si="18"/>
        <v>No</v>
      </c>
      <c r="O180">
        <f t="shared" si="19"/>
        <v>0</v>
      </c>
      <c r="P180" t="str">
        <f t="shared" si="20"/>
        <v>None</v>
      </c>
      <c r="Q180" t="s">
        <v>124</v>
      </c>
    </row>
    <row r="181" spans="1:17" x14ac:dyDescent="0.3">
      <c r="A181">
        <v>180</v>
      </c>
      <c r="B181" t="s">
        <v>17</v>
      </c>
      <c r="C181" s="1">
        <v>45717</v>
      </c>
      <c r="D181" t="s">
        <v>27</v>
      </c>
      <c r="E181" t="s">
        <v>31</v>
      </c>
      <c r="F181" s="2" t="s">
        <v>40</v>
      </c>
      <c r="G181" t="str">
        <f t="shared" si="16"/>
        <v>Musk 12-UK</v>
      </c>
      <c r="H181">
        <f t="shared" si="17"/>
        <v>248</v>
      </c>
      <c r="I181">
        <f>VLOOKUP(G181,Table4[[SKU-COUNTRY2]:[Price in USD]],2,FALSE)</f>
        <v>101.6</v>
      </c>
      <c r="J181">
        <f>VLOOKUP(G181,Sheet3!$C$82:$I$100,MATCH(E181,Sheet3!C$82:H$82,0),FALSE) * VLOOKUP(C181,Table8[],2,0)</f>
        <v>25200.000000000004</v>
      </c>
      <c r="K181">
        <f>ROUND(J181*VLOOKUP(F181,Sheet3!$A$106:$C$111,2,FALSE),0)</f>
        <v>7560</v>
      </c>
      <c r="L181">
        <f t="shared" si="14"/>
        <v>17640.000000000004</v>
      </c>
      <c r="M181">
        <f t="shared" si="15"/>
        <v>70</v>
      </c>
      <c r="N181" t="str">
        <f t="shared" si="18"/>
        <v>No</v>
      </c>
      <c r="O181">
        <f t="shared" si="19"/>
        <v>0</v>
      </c>
      <c r="P181" t="str">
        <f t="shared" si="20"/>
        <v>None</v>
      </c>
      <c r="Q181" t="s">
        <v>124</v>
      </c>
    </row>
    <row r="182" spans="1:17" x14ac:dyDescent="0.3">
      <c r="A182">
        <v>181</v>
      </c>
      <c r="B182" t="s">
        <v>17</v>
      </c>
      <c r="C182" s="1">
        <v>45717</v>
      </c>
      <c r="D182" t="s">
        <v>27</v>
      </c>
      <c r="E182" t="s">
        <v>33</v>
      </c>
      <c r="F182" s="2" t="s">
        <v>35</v>
      </c>
      <c r="G182" t="str">
        <f t="shared" si="16"/>
        <v>Vanilla 28-UK</v>
      </c>
      <c r="H182">
        <f t="shared" si="17"/>
        <v>797</v>
      </c>
      <c r="I182">
        <f>VLOOKUP(G182,Table4[[SKU-COUNTRY2]:[Price in USD]],2,FALSE)</f>
        <v>101.6</v>
      </c>
      <c r="J182">
        <f>VLOOKUP(G182,Sheet3!$C$82:$I$100,MATCH(E182,Sheet3!C$82:H$82,0),FALSE) * VLOOKUP(C182,Table8[],2,0)</f>
        <v>81000</v>
      </c>
      <c r="K182">
        <f>ROUND(J182*VLOOKUP(F182,Sheet3!$A$106:$C$111,2,FALSE),0)</f>
        <v>24300</v>
      </c>
      <c r="L182">
        <f t="shared" si="14"/>
        <v>56700</v>
      </c>
      <c r="M182">
        <f t="shared" si="15"/>
        <v>70</v>
      </c>
      <c r="N182" t="str">
        <f t="shared" si="18"/>
        <v>No</v>
      </c>
      <c r="O182">
        <f t="shared" si="19"/>
        <v>0</v>
      </c>
      <c r="P182" t="str">
        <f t="shared" si="20"/>
        <v>None</v>
      </c>
      <c r="Q182" t="s">
        <v>124</v>
      </c>
    </row>
    <row r="183" spans="1:17" x14ac:dyDescent="0.3">
      <c r="A183">
        <v>182</v>
      </c>
      <c r="B183" t="s">
        <v>17</v>
      </c>
      <c r="C183" s="1">
        <v>45717</v>
      </c>
      <c r="D183" t="s">
        <v>27</v>
      </c>
      <c r="E183" t="s">
        <v>33</v>
      </c>
      <c r="F183" s="2" t="s">
        <v>36</v>
      </c>
      <c r="G183" t="str">
        <f t="shared" si="16"/>
        <v>Eden Juicy Apple 01-UK</v>
      </c>
      <c r="H183">
        <f t="shared" si="17"/>
        <v>585</v>
      </c>
      <c r="I183">
        <f>VLOOKUP(G183,Table4[[SKU-COUNTRY2]:[Price in USD]],2,FALSE)</f>
        <v>101.6</v>
      </c>
      <c r="J183">
        <f>VLOOKUP(G183,Sheet3!$C$82:$I$100,MATCH(E183,Sheet3!C$82:H$82,0),FALSE) * VLOOKUP(C183,Table8[],2,0)</f>
        <v>59400</v>
      </c>
      <c r="K183">
        <f>ROUND(J183*VLOOKUP(F183,Sheet3!$A$106:$C$111,2,FALSE),0)</f>
        <v>18414</v>
      </c>
      <c r="L183">
        <f t="shared" si="14"/>
        <v>40986</v>
      </c>
      <c r="M183">
        <f t="shared" si="15"/>
        <v>69</v>
      </c>
      <c r="N183" t="str">
        <f t="shared" si="18"/>
        <v>No</v>
      </c>
      <c r="O183">
        <f t="shared" si="19"/>
        <v>0</v>
      </c>
      <c r="P183" t="str">
        <f t="shared" si="20"/>
        <v>None</v>
      </c>
      <c r="Q183" t="s">
        <v>124</v>
      </c>
    </row>
    <row r="184" spans="1:17" x14ac:dyDescent="0.3">
      <c r="A184">
        <v>183</v>
      </c>
      <c r="B184" t="s">
        <v>17</v>
      </c>
      <c r="C184" s="1">
        <v>45717</v>
      </c>
      <c r="D184" t="s">
        <v>27</v>
      </c>
      <c r="E184" t="s">
        <v>33</v>
      </c>
      <c r="F184" s="2" t="s">
        <v>37</v>
      </c>
      <c r="G184" t="str">
        <f t="shared" si="16"/>
        <v>Oudgasm Tobacco Oud 04-UK</v>
      </c>
      <c r="H184">
        <f t="shared" si="17"/>
        <v>322</v>
      </c>
      <c r="I184">
        <f>VLOOKUP(G184,Table4[[SKU-COUNTRY2]:[Price in USD]],2,FALSE)</f>
        <v>151.13</v>
      </c>
      <c r="J184">
        <f>VLOOKUP(G184,Sheet3!$C$82:$I$100,MATCH(E184,Sheet3!C$82:H$82,0),FALSE) * VLOOKUP(C184,Table8[],2,0)</f>
        <v>48600</v>
      </c>
      <c r="K184">
        <f>ROUND(J184*VLOOKUP(F184,Sheet3!$A$106:$C$111,2,FALSE),0)</f>
        <v>17010</v>
      </c>
      <c r="L184">
        <f t="shared" si="14"/>
        <v>31590</v>
      </c>
      <c r="M184">
        <f t="shared" si="15"/>
        <v>65</v>
      </c>
      <c r="N184" t="str">
        <f t="shared" si="18"/>
        <v>No</v>
      </c>
      <c r="O184">
        <f t="shared" si="19"/>
        <v>0</v>
      </c>
      <c r="P184" t="str">
        <f t="shared" si="20"/>
        <v>None</v>
      </c>
      <c r="Q184" t="s">
        <v>124</v>
      </c>
    </row>
    <row r="185" spans="1:17" x14ac:dyDescent="0.3">
      <c r="A185">
        <v>184</v>
      </c>
      <c r="B185" t="s">
        <v>17</v>
      </c>
      <c r="C185" s="1">
        <v>45717</v>
      </c>
      <c r="D185" t="s">
        <v>27</v>
      </c>
      <c r="E185" t="s">
        <v>33</v>
      </c>
      <c r="F185" s="2" t="s">
        <v>38</v>
      </c>
      <c r="G185" t="str">
        <f t="shared" si="16"/>
        <v>Yum Pistachio Gelato 33-UK</v>
      </c>
      <c r="H185">
        <f t="shared" si="17"/>
        <v>345</v>
      </c>
      <c r="I185">
        <f>VLOOKUP(G185,Table4[[SKU-COUNTRY2]:[Price in USD]],2,FALSE)</f>
        <v>101.6</v>
      </c>
      <c r="J185">
        <f>VLOOKUP(G185,Sheet3!$C$82:$I$100,MATCH(E185,Sheet3!C$82:H$82,0),FALSE) * VLOOKUP(C185,Table8[],2,0)</f>
        <v>35100</v>
      </c>
      <c r="K185">
        <f>ROUND(J185*VLOOKUP(F185,Sheet3!$A$106:$C$111,2,FALSE),0)</f>
        <v>10881</v>
      </c>
      <c r="L185">
        <f t="shared" si="14"/>
        <v>24219</v>
      </c>
      <c r="M185">
        <f t="shared" si="15"/>
        <v>69</v>
      </c>
      <c r="N185" t="str">
        <f t="shared" si="18"/>
        <v>No</v>
      </c>
      <c r="O185">
        <f t="shared" si="19"/>
        <v>0</v>
      </c>
      <c r="P185" t="str">
        <f t="shared" si="20"/>
        <v>None</v>
      </c>
      <c r="Q185" t="s">
        <v>124</v>
      </c>
    </row>
    <row r="186" spans="1:17" x14ac:dyDescent="0.3">
      <c r="A186">
        <v>185</v>
      </c>
      <c r="B186" t="s">
        <v>17</v>
      </c>
      <c r="C186" s="1">
        <v>45717</v>
      </c>
      <c r="D186" t="s">
        <v>27</v>
      </c>
      <c r="E186" t="s">
        <v>33</v>
      </c>
      <c r="F186" s="2" t="s">
        <v>39</v>
      </c>
      <c r="G186" t="str">
        <f t="shared" si="16"/>
        <v>Freedom Musk Santal 34-UK</v>
      </c>
      <c r="H186">
        <f t="shared" si="17"/>
        <v>266</v>
      </c>
      <c r="I186">
        <f>VLOOKUP(G186,Table4[[SKU-COUNTRY2]:[Price in USD]],2,FALSE)</f>
        <v>101.6</v>
      </c>
      <c r="J186">
        <f>VLOOKUP(G186,Sheet3!$C$82:$I$100,MATCH(E186,Sheet3!C$82:H$82,0),FALSE) * VLOOKUP(C186,Table8[],2,0)</f>
        <v>27000</v>
      </c>
      <c r="K186">
        <f>ROUND(J186*VLOOKUP(F186,Sheet3!$A$106:$C$111,2,FALSE),0)</f>
        <v>8640</v>
      </c>
      <c r="L186">
        <f t="shared" si="14"/>
        <v>18360</v>
      </c>
      <c r="M186">
        <f t="shared" si="15"/>
        <v>68</v>
      </c>
      <c r="N186" t="str">
        <f t="shared" si="18"/>
        <v>No</v>
      </c>
      <c r="O186">
        <f t="shared" si="19"/>
        <v>0</v>
      </c>
      <c r="P186" t="str">
        <f t="shared" si="20"/>
        <v>None</v>
      </c>
      <c r="Q186" t="s">
        <v>124</v>
      </c>
    </row>
    <row r="187" spans="1:17" x14ac:dyDescent="0.3">
      <c r="A187">
        <v>186</v>
      </c>
      <c r="B187" t="s">
        <v>17</v>
      </c>
      <c r="C187" s="1">
        <v>45717</v>
      </c>
      <c r="D187" t="s">
        <v>27</v>
      </c>
      <c r="E187" t="s">
        <v>33</v>
      </c>
      <c r="F187" s="2" t="s">
        <v>40</v>
      </c>
      <c r="G187" t="str">
        <f t="shared" si="16"/>
        <v>Musk 12-UK</v>
      </c>
      <c r="H187">
        <f t="shared" si="17"/>
        <v>186</v>
      </c>
      <c r="I187">
        <f>VLOOKUP(G187,Table4[[SKU-COUNTRY2]:[Price in USD]],2,FALSE)</f>
        <v>101.6</v>
      </c>
      <c r="J187">
        <f>VLOOKUP(G187,Sheet3!$C$82:$I$100,MATCH(E187,Sheet3!C$82:H$82,0),FALSE) * VLOOKUP(C187,Table8[],2,0)</f>
        <v>18900.000000000004</v>
      </c>
      <c r="K187">
        <f>ROUND(J187*VLOOKUP(F187,Sheet3!$A$106:$C$111,2,FALSE),0)</f>
        <v>5670</v>
      </c>
      <c r="L187">
        <f t="shared" si="14"/>
        <v>13230.000000000004</v>
      </c>
      <c r="M187">
        <f t="shared" si="15"/>
        <v>70</v>
      </c>
      <c r="N187" t="str">
        <f t="shared" si="18"/>
        <v>No</v>
      </c>
      <c r="O187">
        <f t="shared" si="19"/>
        <v>0</v>
      </c>
      <c r="P187" t="str">
        <f t="shared" si="20"/>
        <v>None</v>
      </c>
      <c r="Q187" t="s">
        <v>124</v>
      </c>
    </row>
    <row r="188" spans="1:17" x14ac:dyDescent="0.3">
      <c r="A188">
        <v>187</v>
      </c>
      <c r="B188" t="s">
        <v>17</v>
      </c>
      <c r="C188" s="1">
        <v>45717</v>
      </c>
      <c r="D188" t="s">
        <v>27</v>
      </c>
      <c r="E188" t="s">
        <v>34</v>
      </c>
      <c r="F188" s="2" t="s">
        <v>35</v>
      </c>
      <c r="G188" t="str">
        <f t="shared" si="16"/>
        <v>Vanilla 28-UK</v>
      </c>
      <c r="H188">
        <f t="shared" si="17"/>
        <v>1329</v>
      </c>
      <c r="I188">
        <f>VLOOKUP(G188,Table4[[SKU-COUNTRY2]:[Price in USD]],2,FALSE)</f>
        <v>101.6</v>
      </c>
      <c r="J188">
        <f>VLOOKUP(G188,Sheet3!$C$82:$I$100,MATCH(E188,Sheet3!C$82:H$82,0),FALSE) * VLOOKUP(C188,Table8[],2,0)</f>
        <v>135000</v>
      </c>
      <c r="K188">
        <f>ROUND(J188*VLOOKUP(F188,Sheet3!$A$106:$C$111,2,FALSE),0)</f>
        <v>40500</v>
      </c>
      <c r="L188">
        <f t="shared" si="14"/>
        <v>94500</v>
      </c>
      <c r="M188">
        <f t="shared" si="15"/>
        <v>70</v>
      </c>
      <c r="N188" t="str">
        <f t="shared" si="18"/>
        <v>No</v>
      </c>
      <c r="O188">
        <f t="shared" si="19"/>
        <v>0</v>
      </c>
      <c r="P188" t="str">
        <f t="shared" si="20"/>
        <v>None</v>
      </c>
      <c r="Q188" t="s">
        <v>124</v>
      </c>
    </row>
    <row r="189" spans="1:17" x14ac:dyDescent="0.3">
      <c r="A189">
        <v>188</v>
      </c>
      <c r="B189" t="s">
        <v>17</v>
      </c>
      <c r="C189" s="1">
        <v>45717</v>
      </c>
      <c r="D189" t="s">
        <v>27</v>
      </c>
      <c r="E189" t="s">
        <v>34</v>
      </c>
      <c r="F189" s="2" t="s">
        <v>36</v>
      </c>
      <c r="G189" t="str">
        <f t="shared" si="16"/>
        <v>Eden Juicy Apple 01-UK</v>
      </c>
      <c r="H189">
        <f t="shared" si="17"/>
        <v>974</v>
      </c>
      <c r="I189">
        <f>VLOOKUP(G189,Table4[[SKU-COUNTRY2]:[Price in USD]],2,FALSE)</f>
        <v>101.6</v>
      </c>
      <c r="J189">
        <f>VLOOKUP(G189,Sheet3!$C$82:$I$100,MATCH(E189,Sheet3!C$82:H$82,0),FALSE) * VLOOKUP(C189,Table8[],2,0)</f>
        <v>99000</v>
      </c>
      <c r="K189">
        <f>ROUND(J189*VLOOKUP(F189,Sheet3!$A$106:$C$111,2,FALSE),0)</f>
        <v>30690</v>
      </c>
      <c r="L189">
        <f t="shared" si="14"/>
        <v>68310</v>
      </c>
      <c r="M189">
        <f t="shared" si="15"/>
        <v>69</v>
      </c>
      <c r="N189" t="str">
        <f t="shared" si="18"/>
        <v>No</v>
      </c>
      <c r="O189">
        <f t="shared" si="19"/>
        <v>0</v>
      </c>
      <c r="P189" t="str">
        <f t="shared" si="20"/>
        <v>None</v>
      </c>
      <c r="Q189" t="s">
        <v>124</v>
      </c>
    </row>
    <row r="190" spans="1:17" x14ac:dyDescent="0.3">
      <c r="A190">
        <v>189</v>
      </c>
      <c r="B190" t="s">
        <v>17</v>
      </c>
      <c r="C190" s="1">
        <v>45717</v>
      </c>
      <c r="D190" t="s">
        <v>27</v>
      </c>
      <c r="E190" t="s">
        <v>34</v>
      </c>
      <c r="F190" s="2" t="s">
        <v>37</v>
      </c>
      <c r="G190" t="str">
        <f t="shared" si="16"/>
        <v>Oudgasm Tobacco Oud 04-UK</v>
      </c>
      <c r="H190">
        <f t="shared" si="17"/>
        <v>536</v>
      </c>
      <c r="I190">
        <f>VLOOKUP(G190,Table4[[SKU-COUNTRY2]:[Price in USD]],2,FALSE)</f>
        <v>151.13</v>
      </c>
      <c r="J190">
        <f>VLOOKUP(G190,Sheet3!$C$82:$I$100,MATCH(E190,Sheet3!C$82:H$82,0),FALSE) * VLOOKUP(C190,Table8[],2,0)</f>
        <v>81000</v>
      </c>
      <c r="K190">
        <f>ROUND(J190*VLOOKUP(F190,Sheet3!$A$106:$C$111,2,FALSE),0)</f>
        <v>28350</v>
      </c>
      <c r="L190">
        <f t="shared" si="14"/>
        <v>52650</v>
      </c>
      <c r="M190">
        <f t="shared" si="15"/>
        <v>65</v>
      </c>
      <c r="N190" t="str">
        <f t="shared" si="18"/>
        <v>No</v>
      </c>
      <c r="O190">
        <f t="shared" si="19"/>
        <v>0</v>
      </c>
      <c r="P190" t="str">
        <f t="shared" si="20"/>
        <v>None</v>
      </c>
      <c r="Q190" t="s">
        <v>124</v>
      </c>
    </row>
    <row r="191" spans="1:17" x14ac:dyDescent="0.3">
      <c r="A191">
        <v>190</v>
      </c>
      <c r="B191" t="s">
        <v>17</v>
      </c>
      <c r="C191" s="1">
        <v>45717</v>
      </c>
      <c r="D191" t="s">
        <v>27</v>
      </c>
      <c r="E191" t="s">
        <v>34</v>
      </c>
      <c r="F191" s="2" t="s">
        <v>38</v>
      </c>
      <c r="G191" t="str">
        <f t="shared" si="16"/>
        <v>Yum Pistachio Gelato 33-UK</v>
      </c>
      <c r="H191">
        <f t="shared" si="17"/>
        <v>576</v>
      </c>
      <c r="I191">
        <f>VLOOKUP(G191,Table4[[SKU-COUNTRY2]:[Price in USD]],2,FALSE)</f>
        <v>101.6</v>
      </c>
      <c r="J191">
        <f>VLOOKUP(G191,Sheet3!$C$82:$I$100,MATCH(E191,Sheet3!C$82:H$82,0),FALSE) * VLOOKUP(C191,Table8[],2,0)</f>
        <v>58500</v>
      </c>
      <c r="K191">
        <f>ROUND(J191*VLOOKUP(F191,Sheet3!$A$106:$C$111,2,FALSE),0)</f>
        <v>18135</v>
      </c>
      <c r="L191">
        <f t="shared" si="14"/>
        <v>40365</v>
      </c>
      <c r="M191">
        <f t="shared" si="15"/>
        <v>69</v>
      </c>
      <c r="N191" t="str">
        <f t="shared" si="18"/>
        <v>No</v>
      </c>
      <c r="O191">
        <f t="shared" si="19"/>
        <v>0</v>
      </c>
      <c r="P191" t="str">
        <f t="shared" si="20"/>
        <v>None</v>
      </c>
      <c r="Q191" t="s">
        <v>124</v>
      </c>
    </row>
    <row r="192" spans="1:17" x14ac:dyDescent="0.3">
      <c r="A192">
        <v>191</v>
      </c>
      <c r="B192" t="s">
        <v>17</v>
      </c>
      <c r="C192" s="1">
        <v>45717</v>
      </c>
      <c r="D192" t="s">
        <v>27</v>
      </c>
      <c r="E192" t="s">
        <v>34</v>
      </c>
      <c r="F192" s="2" t="s">
        <v>39</v>
      </c>
      <c r="G192" t="str">
        <f t="shared" si="16"/>
        <v>Freedom Musk Santal 34-UK</v>
      </c>
      <c r="H192">
        <f t="shared" si="17"/>
        <v>443</v>
      </c>
      <c r="I192">
        <f>VLOOKUP(G192,Table4[[SKU-COUNTRY2]:[Price in USD]],2,FALSE)</f>
        <v>101.6</v>
      </c>
      <c r="J192">
        <f>VLOOKUP(G192,Sheet3!$C$82:$I$100,MATCH(E192,Sheet3!C$82:H$82,0),FALSE) * VLOOKUP(C192,Table8[],2,0)</f>
        <v>45000</v>
      </c>
      <c r="K192">
        <f>ROUND(J192*VLOOKUP(F192,Sheet3!$A$106:$C$111,2,FALSE),0)</f>
        <v>14400</v>
      </c>
      <c r="L192">
        <f t="shared" si="14"/>
        <v>30600</v>
      </c>
      <c r="M192">
        <f t="shared" si="15"/>
        <v>68</v>
      </c>
      <c r="N192" t="str">
        <f t="shared" si="18"/>
        <v>No</v>
      </c>
      <c r="O192">
        <f t="shared" si="19"/>
        <v>0</v>
      </c>
      <c r="P192" t="str">
        <f t="shared" si="20"/>
        <v>None</v>
      </c>
      <c r="Q192" t="s">
        <v>124</v>
      </c>
    </row>
    <row r="193" spans="1:17" x14ac:dyDescent="0.3">
      <c r="A193">
        <v>192</v>
      </c>
      <c r="B193" t="s">
        <v>17</v>
      </c>
      <c r="C193" s="1">
        <v>45717</v>
      </c>
      <c r="D193" t="s">
        <v>27</v>
      </c>
      <c r="E193" t="s">
        <v>34</v>
      </c>
      <c r="F193" s="2" t="s">
        <v>40</v>
      </c>
      <c r="G193" t="str">
        <f t="shared" si="16"/>
        <v>Musk 12-UK</v>
      </c>
      <c r="H193">
        <f t="shared" si="17"/>
        <v>310</v>
      </c>
      <c r="I193">
        <f>VLOOKUP(G193,Table4[[SKU-COUNTRY2]:[Price in USD]],2,FALSE)</f>
        <v>101.6</v>
      </c>
      <c r="J193">
        <f>VLOOKUP(G193,Sheet3!$C$82:$I$100,MATCH(E193,Sheet3!C$82:H$82,0),FALSE) * VLOOKUP(C193,Table8[],2,0)</f>
        <v>31500</v>
      </c>
      <c r="K193">
        <f>ROUND(J193*VLOOKUP(F193,Sheet3!$A$106:$C$111,2,FALSE),0)</f>
        <v>9450</v>
      </c>
      <c r="L193">
        <f t="shared" si="14"/>
        <v>22050</v>
      </c>
      <c r="M193">
        <f t="shared" si="15"/>
        <v>70</v>
      </c>
      <c r="N193" t="str">
        <f t="shared" si="18"/>
        <v>No</v>
      </c>
      <c r="O193">
        <f t="shared" si="19"/>
        <v>0</v>
      </c>
      <c r="P193" t="str">
        <f t="shared" si="20"/>
        <v>None</v>
      </c>
      <c r="Q193" t="s">
        <v>124</v>
      </c>
    </row>
    <row r="194" spans="1:17" x14ac:dyDescent="0.3">
      <c r="A194">
        <v>193</v>
      </c>
      <c r="B194" t="s">
        <v>17</v>
      </c>
      <c r="C194" s="1">
        <v>45717</v>
      </c>
      <c r="D194" t="s">
        <v>29</v>
      </c>
      <c r="E194" t="s">
        <v>32</v>
      </c>
      <c r="F194" s="2" t="s">
        <v>35</v>
      </c>
      <c r="G194" t="str">
        <f t="shared" si="16"/>
        <v>Vanilla 28-UAE</v>
      </c>
      <c r="H194">
        <f t="shared" si="17"/>
        <v>1786</v>
      </c>
      <c r="I194">
        <f>VLOOKUP(G194,Table4[[SKU-COUNTRY2]:[Price in USD]],2,FALSE)</f>
        <v>113.4</v>
      </c>
      <c r="J194">
        <f>VLOOKUP(G194,Sheet3!$C$82:$I$100,MATCH(E194,Sheet3!C$82:H$82,0),FALSE) * VLOOKUP(C194,Table8[],2,0)</f>
        <v>202500</v>
      </c>
      <c r="K194">
        <f>ROUND(J194*VLOOKUP(F194,Sheet3!$A$106:$C$111,2,FALSE),0)</f>
        <v>60750</v>
      </c>
      <c r="L194">
        <f t="shared" ref="L194:L257" si="21">J194-K194</f>
        <v>141750</v>
      </c>
      <c r="M194">
        <f t="shared" ref="M194:M257" si="22">ROUND(L194/J194*100, 1)</f>
        <v>70</v>
      </c>
      <c r="N194" t="str">
        <f t="shared" si="18"/>
        <v>Yes</v>
      </c>
      <c r="O194">
        <f t="shared" si="19"/>
        <v>20</v>
      </c>
      <c r="P194" t="str">
        <f t="shared" si="20"/>
        <v>Eid Al Fitr</v>
      </c>
      <c r="Q194" t="s">
        <v>124</v>
      </c>
    </row>
    <row r="195" spans="1:17" x14ac:dyDescent="0.3">
      <c r="A195">
        <v>194</v>
      </c>
      <c r="B195" t="s">
        <v>17</v>
      </c>
      <c r="C195" s="1">
        <v>45717</v>
      </c>
      <c r="D195" t="s">
        <v>29</v>
      </c>
      <c r="E195" t="s">
        <v>32</v>
      </c>
      <c r="F195" s="2" t="s">
        <v>36</v>
      </c>
      <c r="G195" t="str">
        <f t="shared" ref="G195:G258" si="23">_xlfn.CONCAT(F195,"-",D195,)</f>
        <v>Eden Juicy Apple 01-UAE</v>
      </c>
      <c r="H195">
        <f t="shared" ref="H195:H258" si="24">ROUND(J195/I195,0)</f>
        <v>1339</v>
      </c>
      <c r="I195">
        <f>VLOOKUP(G195,Table4[[SKU-COUNTRY2]:[Price in USD]],2,FALSE)</f>
        <v>113.4</v>
      </c>
      <c r="J195">
        <f>VLOOKUP(G195,Sheet3!$C$82:$I$100,MATCH(E195,Sheet3!C$82:H$82,0),FALSE) * VLOOKUP(C195,Table8[],2,0)</f>
        <v>151875</v>
      </c>
      <c r="K195">
        <f>ROUND(J195*VLOOKUP(F195,Sheet3!$A$106:$C$111,2,FALSE),0)</f>
        <v>47081</v>
      </c>
      <c r="L195">
        <f t="shared" si="21"/>
        <v>104794</v>
      </c>
      <c r="M195">
        <f t="shared" si="22"/>
        <v>69</v>
      </c>
      <c r="N195" t="str">
        <f t="shared" ref="N195:N258" si="25">IF(OR(
    MONTH(C195)=2,
    AND(MONTH(C195)=3, D195="UAE"),
    AND(MONTH(C195)=6, D195="UAE"),
    AND(MONTH(C195)=7, OR(D195="USA", D195="UK")),
    MONTH(C195)=9,
    AND(MONTH(C195)=11, OR(D195="USA", D195="UK"))
), "Yes", "No")</f>
        <v>Yes</v>
      </c>
      <c r="O195">
        <f t="shared" ref="O195:O258" si="26">IF(MONTH(C195)=2, 15,
IF(AND(MONTH(C195)=3, D195="UAE"), 20,
IF(AND(MONTH(C195)=6, D195="UAE"), 15,
IF(AND(MONTH(C195)=7, OR(D195="USA", D195="UK")), 20,
IF(AND(MONTH(C195)=11, OR(D195="USA", D195="UK")), 25,
0)))))</f>
        <v>20</v>
      </c>
      <c r="P195" t="str">
        <f t="shared" ref="P195:P258" si="27">IF(MONTH(C195)=2, "Valentine's Day",
IF(AND(MONTH(C195)=3, D195="UAE"), "Eid Al Fitr",
IF(AND(MONTH(C195)=6, D195="UAE"), "Eid Al Adha",
IF(AND(MONTH(C195)=7, OR(D195="USA", D195="UK")), "Summer Sale",
IF(MONTH(C195)=9, "Freedom Launch",
IF(AND(MONTH(C195)=11, OR(D195="USA", D195="UK")), "Black Friday",
"None"))))))</f>
        <v>Eid Al Fitr</v>
      </c>
      <c r="Q195" t="s">
        <v>124</v>
      </c>
    </row>
    <row r="196" spans="1:17" x14ac:dyDescent="0.3">
      <c r="A196">
        <v>195</v>
      </c>
      <c r="B196" t="s">
        <v>17</v>
      </c>
      <c r="C196" s="1">
        <v>45717</v>
      </c>
      <c r="D196" t="s">
        <v>29</v>
      </c>
      <c r="E196" t="s">
        <v>32</v>
      </c>
      <c r="F196" s="2" t="s">
        <v>37</v>
      </c>
      <c r="G196" t="str">
        <f t="shared" si="23"/>
        <v>Oudgasm Tobacco Oud 04-UAE</v>
      </c>
      <c r="H196">
        <f t="shared" si="24"/>
        <v>2382</v>
      </c>
      <c r="I196">
        <f>VLOOKUP(G196,Table4[[SKU-COUNTRY2]:[Price in USD]],2,FALSE)</f>
        <v>148.77000000000001</v>
      </c>
      <c r="J196">
        <f>VLOOKUP(G196,Sheet3!$C$82:$I$100,MATCH(E196,Sheet3!C$82:H$82,0),FALSE) * VLOOKUP(C196,Table8[],2,0)</f>
        <v>354375</v>
      </c>
      <c r="K196">
        <f>ROUND(J196*VLOOKUP(F196,Sheet3!$A$106:$C$111,2,FALSE),0)</f>
        <v>124031</v>
      </c>
      <c r="L196">
        <f t="shared" si="21"/>
        <v>230344</v>
      </c>
      <c r="M196">
        <f t="shared" si="22"/>
        <v>65</v>
      </c>
      <c r="N196" t="str">
        <f t="shared" si="25"/>
        <v>Yes</v>
      </c>
      <c r="O196">
        <f t="shared" si="26"/>
        <v>20</v>
      </c>
      <c r="P196" t="str">
        <f t="shared" si="27"/>
        <v>Eid Al Fitr</v>
      </c>
      <c r="Q196" t="s">
        <v>124</v>
      </c>
    </row>
    <row r="197" spans="1:17" x14ac:dyDescent="0.3">
      <c r="A197">
        <v>196</v>
      </c>
      <c r="B197" t="s">
        <v>17</v>
      </c>
      <c r="C197" s="1">
        <v>45717</v>
      </c>
      <c r="D197" t="s">
        <v>29</v>
      </c>
      <c r="E197" t="s">
        <v>32</v>
      </c>
      <c r="F197" s="2" t="s">
        <v>38</v>
      </c>
      <c r="G197" t="str">
        <f t="shared" si="23"/>
        <v>Yum Pistachio Gelato 33-UAE</v>
      </c>
      <c r="H197">
        <f t="shared" si="24"/>
        <v>1071</v>
      </c>
      <c r="I197">
        <f>VLOOKUP(G197,Table4[[SKU-COUNTRY2]:[Price in USD]],2,FALSE)</f>
        <v>113.4</v>
      </c>
      <c r="J197">
        <f>VLOOKUP(G197,Sheet3!$C$82:$I$100,MATCH(E197,Sheet3!C$82:H$82,0),FALSE) * VLOOKUP(C197,Table8[],2,0)</f>
        <v>121500</v>
      </c>
      <c r="K197">
        <f>ROUND(J197*VLOOKUP(F197,Sheet3!$A$106:$C$111,2,FALSE),0)</f>
        <v>37665</v>
      </c>
      <c r="L197">
        <f t="shared" si="21"/>
        <v>83835</v>
      </c>
      <c r="M197">
        <f t="shared" si="22"/>
        <v>69</v>
      </c>
      <c r="N197" t="str">
        <f t="shared" si="25"/>
        <v>Yes</v>
      </c>
      <c r="O197">
        <f t="shared" si="26"/>
        <v>20</v>
      </c>
      <c r="P197" t="str">
        <f t="shared" si="27"/>
        <v>Eid Al Fitr</v>
      </c>
      <c r="Q197" t="s">
        <v>124</v>
      </c>
    </row>
    <row r="198" spans="1:17" x14ac:dyDescent="0.3">
      <c r="A198">
        <v>197</v>
      </c>
      <c r="B198" t="s">
        <v>17</v>
      </c>
      <c r="C198" s="1">
        <v>45717</v>
      </c>
      <c r="D198" t="s">
        <v>29</v>
      </c>
      <c r="E198" t="s">
        <v>32</v>
      </c>
      <c r="F198" s="2" t="s">
        <v>39</v>
      </c>
      <c r="G198" t="str">
        <f t="shared" si="23"/>
        <v>Freedom Musk Santal 34-UAE</v>
      </c>
      <c r="H198">
        <f t="shared" si="24"/>
        <v>893</v>
      </c>
      <c r="I198">
        <f>VLOOKUP(G198,Table4[[SKU-COUNTRY2]:[Price in USD]],2,FALSE)</f>
        <v>113.4</v>
      </c>
      <c r="J198">
        <f>VLOOKUP(G198,Sheet3!$C$82:$I$100,MATCH(E198,Sheet3!C$82:H$82,0),FALSE) * VLOOKUP(C198,Table8[],2,0)</f>
        <v>101250</v>
      </c>
      <c r="K198">
        <f>ROUND(J198*VLOOKUP(F198,Sheet3!$A$106:$C$111,2,FALSE),0)</f>
        <v>32400</v>
      </c>
      <c r="L198">
        <f t="shared" si="21"/>
        <v>68850</v>
      </c>
      <c r="M198">
        <f t="shared" si="22"/>
        <v>68</v>
      </c>
      <c r="N198" t="str">
        <f t="shared" si="25"/>
        <v>Yes</v>
      </c>
      <c r="O198">
        <f t="shared" si="26"/>
        <v>20</v>
      </c>
      <c r="P198" t="str">
        <f t="shared" si="27"/>
        <v>Eid Al Fitr</v>
      </c>
      <c r="Q198" t="s">
        <v>124</v>
      </c>
    </row>
    <row r="199" spans="1:17" x14ac:dyDescent="0.3">
      <c r="A199">
        <v>198</v>
      </c>
      <c r="B199" t="s">
        <v>17</v>
      </c>
      <c r="C199" s="1">
        <v>45717</v>
      </c>
      <c r="D199" t="s">
        <v>29</v>
      </c>
      <c r="E199" t="s">
        <v>32</v>
      </c>
      <c r="F199" s="2" t="s">
        <v>40</v>
      </c>
      <c r="G199" t="str">
        <f t="shared" si="23"/>
        <v>Musk 12-UAE</v>
      </c>
      <c r="H199">
        <f t="shared" si="24"/>
        <v>714</v>
      </c>
      <c r="I199">
        <f>VLOOKUP(G199,Table4[[SKU-COUNTRY2]:[Price in USD]],2,FALSE)</f>
        <v>113.4</v>
      </c>
      <c r="J199">
        <f>VLOOKUP(G199,Sheet3!$C$82:$I$100,MATCH(E199,Sheet3!C$82:H$82,0),FALSE) * VLOOKUP(C199,Table8[],2,0)</f>
        <v>81000</v>
      </c>
      <c r="K199">
        <f>ROUND(J199*VLOOKUP(F199,Sheet3!$A$106:$C$111,2,FALSE),0)</f>
        <v>24300</v>
      </c>
      <c r="L199">
        <f t="shared" si="21"/>
        <v>56700</v>
      </c>
      <c r="M199">
        <f t="shared" si="22"/>
        <v>70</v>
      </c>
      <c r="N199" t="str">
        <f t="shared" si="25"/>
        <v>Yes</v>
      </c>
      <c r="O199">
        <f t="shared" si="26"/>
        <v>20</v>
      </c>
      <c r="P199" t="str">
        <f t="shared" si="27"/>
        <v>Eid Al Fitr</v>
      </c>
      <c r="Q199" t="s">
        <v>124</v>
      </c>
    </row>
    <row r="200" spans="1:17" x14ac:dyDescent="0.3">
      <c r="A200">
        <v>199</v>
      </c>
      <c r="B200" t="s">
        <v>17</v>
      </c>
      <c r="C200" s="1">
        <v>45717</v>
      </c>
      <c r="D200" t="s">
        <v>29</v>
      </c>
      <c r="E200" t="s">
        <v>31</v>
      </c>
      <c r="F200" s="2" t="s">
        <v>35</v>
      </c>
      <c r="G200" t="str">
        <f t="shared" si="23"/>
        <v>Vanilla 28-UAE</v>
      </c>
      <c r="H200">
        <f t="shared" si="24"/>
        <v>992</v>
      </c>
      <c r="I200">
        <f>VLOOKUP(G200,Table4[[SKU-COUNTRY2]:[Price in USD]],2,FALSE)</f>
        <v>113.4</v>
      </c>
      <c r="J200">
        <f>VLOOKUP(G200,Sheet3!$C$82:$I$100,MATCH(E200,Sheet3!C$82:H$82,0),FALSE) * VLOOKUP(C200,Table8[],2,0)</f>
        <v>112500</v>
      </c>
      <c r="K200">
        <f>ROUND(J200*VLOOKUP(F200,Sheet3!$A$106:$C$111,2,FALSE),0)</f>
        <v>33750</v>
      </c>
      <c r="L200">
        <f t="shared" si="21"/>
        <v>78750</v>
      </c>
      <c r="M200">
        <f t="shared" si="22"/>
        <v>70</v>
      </c>
      <c r="N200" t="str">
        <f t="shared" si="25"/>
        <v>Yes</v>
      </c>
      <c r="O200">
        <f t="shared" si="26"/>
        <v>20</v>
      </c>
      <c r="P200" t="str">
        <f t="shared" si="27"/>
        <v>Eid Al Fitr</v>
      </c>
      <c r="Q200" t="s">
        <v>124</v>
      </c>
    </row>
    <row r="201" spans="1:17" x14ac:dyDescent="0.3">
      <c r="A201">
        <v>200</v>
      </c>
      <c r="B201" t="s">
        <v>17</v>
      </c>
      <c r="C201" s="1">
        <v>45717</v>
      </c>
      <c r="D201" t="s">
        <v>29</v>
      </c>
      <c r="E201" t="s">
        <v>31</v>
      </c>
      <c r="F201" s="2" t="s">
        <v>36</v>
      </c>
      <c r="G201" t="str">
        <f t="shared" si="23"/>
        <v>Eden Juicy Apple 01-UAE</v>
      </c>
      <c r="H201">
        <f t="shared" si="24"/>
        <v>744</v>
      </c>
      <c r="I201">
        <f>VLOOKUP(G201,Table4[[SKU-COUNTRY2]:[Price in USD]],2,FALSE)</f>
        <v>113.4</v>
      </c>
      <c r="J201">
        <f>VLOOKUP(G201,Sheet3!$C$82:$I$100,MATCH(E201,Sheet3!C$82:H$82,0),FALSE) * VLOOKUP(C201,Table8[],2,0)</f>
        <v>84375</v>
      </c>
      <c r="K201">
        <f>ROUND(J201*VLOOKUP(F201,Sheet3!$A$106:$C$111,2,FALSE),0)</f>
        <v>26156</v>
      </c>
      <c r="L201">
        <f t="shared" si="21"/>
        <v>58219</v>
      </c>
      <c r="M201">
        <f t="shared" si="22"/>
        <v>69</v>
      </c>
      <c r="N201" t="str">
        <f t="shared" si="25"/>
        <v>Yes</v>
      </c>
      <c r="O201">
        <f t="shared" si="26"/>
        <v>20</v>
      </c>
      <c r="P201" t="str">
        <f t="shared" si="27"/>
        <v>Eid Al Fitr</v>
      </c>
      <c r="Q201" t="s">
        <v>124</v>
      </c>
    </row>
    <row r="202" spans="1:17" x14ac:dyDescent="0.3">
      <c r="A202">
        <v>201</v>
      </c>
      <c r="B202" t="s">
        <v>17</v>
      </c>
      <c r="C202" s="1">
        <v>45717</v>
      </c>
      <c r="D202" t="s">
        <v>29</v>
      </c>
      <c r="E202" t="s">
        <v>31</v>
      </c>
      <c r="F202" s="2" t="s">
        <v>37</v>
      </c>
      <c r="G202" t="str">
        <f t="shared" si="23"/>
        <v>Oudgasm Tobacco Oud 04-UAE</v>
      </c>
      <c r="H202">
        <f t="shared" si="24"/>
        <v>1323</v>
      </c>
      <c r="I202">
        <f>VLOOKUP(G202,Table4[[SKU-COUNTRY2]:[Price in USD]],2,FALSE)</f>
        <v>148.77000000000001</v>
      </c>
      <c r="J202">
        <f>VLOOKUP(G202,Sheet3!$C$82:$I$100,MATCH(E202,Sheet3!C$82:H$82,0),FALSE) * VLOOKUP(C202,Table8[],2,0)</f>
        <v>196875</v>
      </c>
      <c r="K202">
        <f>ROUND(J202*VLOOKUP(F202,Sheet3!$A$106:$C$111,2,FALSE),0)</f>
        <v>68906</v>
      </c>
      <c r="L202">
        <f t="shared" si="21"/>
        <v>127969</v>
      </c>
      <c r="M202">
        <f t="shared" si="22"/>
        <v>65</v>
      </c>
      <c r="N202" t="str">
        <f t="shared" si="25"/>
        <v>Yes</v>
      </c>
      <c r="O202">
        <f t="shared" si="26"/>
        <v>20</v>
      </c>
      <c r="P202" t="str">
        <f t="shared" si="27"/>
        <v>Eid Al Fitr</v>
      </c>
      <c r="Q202" t="s">
        <v>124</v>
      </c>
    </row>
    <row r="203" spans="1:17" x14ac:dyDescent="0.3">
      <c r="A203">
        <v>202</v>
      </c>
      <c r="B203" t="s">
        <v>17</v>
      </c>
      <c r="C203" s="1">
        <v>45717</v>
      </c>
      <c r="D203" t="s">
        <v>29</v>
      </c>
      <c r="E203" t="s">
        <v>31</v>
      </c>
      <c r="F203" s="2" t="s">
        <v>38</v>
      </c>
      <c r="G203" t="str">
        <f t="shared" si="23"/>
        <v>Yum Pistachio Gelato 33-UAE</v>
      </c>
      <c r="H203">
        <f t="shared" si="24"/>
        <v>595</v>
      </c>
      <c r="I203">
        <f>VLOOKUP(G203,Table4[[SKU-COUNTRY2]:[Price in USD]],2,FALSE)</f>
        <v>113.4</v>
      </c>
      <c r="J203">
        <f>VLOOKUP(G203,Sheet3!$C$82:$I$100,MATCH(E203,Sheet3!C$82:H$82,0),FALSE) * VLOOKUP(C203,Table8[],2,0)</f>
        <v>67500</v>
      </c>
      <c r="K203">
        <f>ROUND(J203*VLOOKUP(F203,Sheet3!$A$106:$C$111,2,FALSE),0)</f>
        <v>20925</v>
      </c>
      <c r="L203">
        <f t="shared" si="21"/>
        <v>46575</v>
      </c>
      <c r="M203">
        <f t="shared" si="22"/>
        <v>69</v>
      </c>
      <c r="N203" t="str">
        <f t="shared" si="25"/>
        <v>Yes</v>
      </c>
      <c r="O203">
        <f t="shared" si="26"/>
        <v>20</v>
      </c>
      <c r="P203" t="str">
        <f t="shared" si="27"/>
        <v>Eid Al Fitr</v>
      </c>
      <c r="Q203" t="s">
        <v>124</v>
      </c>
    </row>
    <row r="204" spans="1:17" x14ac:dyDescent="0.3">
      <c r="A204">
        <v>203</v>
      </c>
      <c r="B204" t="s">
        <v>17</v>
      </c>
      <c r="C204" s="1">
        <v>45717</v>
      </c>
      <c r="D204" t="s">
        <v>29</v>
      </c>
      <c r="E204" t="s">
        <v>31</v>
      </c>
      <c r="F204" s="2" t="s">
        <v>39</v>
      </c>
      <c r="G204" t="str">
        <f t="shared" si="23"/>
        <v>Freedom Musk Santal 34-UAE</v>
      </c>
      <c r="H204">
        <f t="shared" si="24"/>
        <v>496</v>
      </c>
      <c r="I204">
        <f>VLOOKUP(G204,Table4[[SKU-COUNTRY2]:[Price in USD]],2,FALSE)</f>
        <v>113.4</v>
      </c>
      <c r="J204">
        <f>VLOOKUP(G204,Sheet3!$C$82:$I$100,MATCH(E204,Sheet3!C$82:H$82,0),FALSE) * VLOOKUP(C204,Table8[],2,0)</f>
        <v>56250</v>
      </c>
      <c r="K204">
        <f>ROUND(J204*VLOOKUP(F204,Sheet3!$A$106:$C$111,2,FALSE),0)</f>
        <v>18000</v>
      </c>
      <c r="L204">
        <f t="shared" si="21"/>
        <v>38250</v>
      </c>
      <c r="M204">
        <f t="shared" si="22"/>
        <v>68</v>
      </c>
      <c r="N204" t="str">
        <f t="shared" si="25"/>
        <v>Yes</v>
      </c>
      <c r="O204">
        <f t="shared" si="26"/>
        <v>20</v>
      </c>
      <c r="P204" t="str">
        <f t="shared" si="27"/>
        <v>Eid Al Fitr</v>
      </c>
      <c r="Q204" t="s">
        <v>124</v>
      </c>
    </row>
    <row r="205" spans="1:17" x14ac:dyDescent="0.3">
      <c r="A205">
        <v>204</v>
      </c>
      <c r="B205" t="s">
        <v>17</v>
      </c>
      <c r="C205" s="1">
        <v>45717</v>
      </c>
      <c r="D205" t="s">
        <v>29</v>
      </c>
      <c r="E205" t="s">
        <v>31</v>
      </c>
      <c r="F205" s="2" t="s">
        <v>40</v>
      </c>
      <c r="G205" t="str">
        <f t="shared" si="23"/>
        <v>Musk 12-UAE</v>
      </c>
      <c r="H205">
        <f t="shared" si="24"/>
        <v>397</v>
      </c>
      <c r="I205">
        <f>VLOOKUP(G205,Table4[[SKU-COUNTRY2]:[Price in USD]],2,FALSE)</f>
        <v>113.4</v>
      </c>
      <c r="J205">
        <f>VLOOKUP(G205,Sheet3!$C$82:$I$100,MATCH(E205,Sheet3!C$82:H$82,0),FALSE) * VLOOKUP(C205,Table8[],2,0)</f>
        <v>45000</v>
      </c>
      <c r="K205">
        <f>ROUND(J205*VLOOKUP(F205,Sheet3!$A$106:$C$111,2,FALSE),0)</f>
        <v>13500</v>
      </c>
      <c r="L205">
        <f t="shared" si="21"/>
        <v>31500</v>
      </c>
      <c r="M205">
        <f t="shared" si="22"/>
        <v>70</v>
      </c>
      <c r="N205" t="str">
        <f t="shared" si="25"/>
        <v>Yes</v>
      </c>
      <c r="O205">
        <f t="shared" si="26"/>
        <v>20</v>
      </c>
      <c r="P205" t="str">
        <f t="shared" si="27"/>
        <v>Eid Al Fitr</v>
      </c>
      <c r="Q205" t="s">
        <v>124</v>
      </c>
    </row>
    <row r="206" spans="1:17" x14ac:dyDescent="0.3">
      <c r="A206">
        <v>205</v>
      </c>
      <c r="B206" t="s">
        <v>17</v>
      </c>
      <c r="C206" s="1">
        <v>45717</v>
      </c>
      <c r="D206" t="s">
        <v>29</v>
      </c>
      <c r="E206" t="s">
        <v>33</v>
      </c>
      <c r="F206" s="2" t="s">
        <v>35</v>
      </c>
      <c r="G206" t="str">
        <f t="shared" si="23"/>
        <v>Vanilla 28-UAE</v>
      </c>
      <c r="H206">
        <f t="shared" si="24"/>
        <v>794</v>
      </c>
      <c r="I206">
        <f>VLOOKUP(G206,Table4[[SKU-COUNTRY2]:[Price in USD]],2,FALSE)</f>
        <v>113.4</v>
      </c>
      <c r="J206">
        <f>VLOOKUP(G206,Sheet3!$C$82:$I$100,MATCH(E206,Sheet3!C$82:H$82,0),FALSE) * VLOOKUP(C206,Table8[],2,0)</f>
        <v>90000</v>
      </c>
      <c r="K206">
        <f>ROUND(J206*VLOOKUP(F206,Sheet3!$A$106:$C$111,2,FALSE),0)</f>
        <v>27000</v>
      </c>
      <c r="L206">
        <f t="shared" si="21"/>
        <v>63000</v>
      </c>
      <c r="M206">
        <f t="shared" si="22"/>
        <v>70</v>
      </c>
      <c r="N206" t="str">
        <f t="shared" si="25"/>
        <v>Yes</v>
      </c>
      <c r="O206">
        <f t="shared" si="26"/>
        <v>20</v>
      </c>
      <c r="P206" t="str">
        <f t="shared" si="27"/>
        <v>Eid Al Fitr</v>
      </c>
      <c r="Q206" t="s">
        <v>124</v>
      </c>
    </row>
    <row r="207" spans="1:17" x14ac:dyDescent="0.3">
      <c r="A207">
        <v>206</v>
      </c>
      <c r="B207" t="s">
        <v>17</v>
      </c>
      <c r="C207" s="1">
        <v>45717</v>
      </c>
      <c r="D207" t="s">
        <v>29</v>
      </c>
      <c r="E207" t="s">
        <v>33</v>
      </c>
      <c r="F207" s="2" t="s">
        <v>36</v>
      </c>
      <c r="G207" t="str">
        <f t="shared" si="23"/>
        <v>Eden Juicy Apple 01-UAE</v>
      </c>
      <c r="H207">
        <f t="shared" si="24"/>
        <v>595</v>
      </c>
      <c r="I207">
        <f>VLOOKUP(G207,Table4[[SKU-COUNTRY2]:[Price in USD]],2,FALSE)</f>
        <v>113.4</v>
      </c>
      <c r="J207">
        <f>VLOOKUP(G207,Sheet3!$C$82:$I$100,MATCH(E207,Sheet3!C$82:H$82,0),FALSE) * VLOOKUP(C207,Table8[],2,0)</f>
        <v>67500</v>
      </c>
      <c r="K207">
        <f>ROUND(J207*VLOOKUP(F207,Sheet3!$A$106:$C$111,2,FALSE),0)</f>
        <v>20925</v>
      </c>
      <c r="L207">
        <f t="shared" si="21"/>
        <v>46575</v>
      </c>
      <c r="M207">
        <f t="shared" si="22"/>
        <v>69</v>
      </c>
      <c r="N207" t="str">
        <f t="shared" si="25"/>
        <v>Yes</v>
      </c>
      <c r="O207">
        <f t="shared" si="26"/>
        <v>20</v>
      </c>
      <c r="P207" t="str">
        <f t="shared" si="27"/>
        <v>Eid Al Fitr</v>
      </c>
      <c r="Q207" t="s">
        <v>124</v>
      </c>
    </row>
    <row r="208" spans="1:17" x14ac:dyDescent="0.3">
      <c r="A208">
        <v>207</v>
      </c>
      <c r="B208" t="s">
        <v>17</v>
      </c>
      <c r="C208" s="1">
        <v>45717</v>
      </c>
      <c r="D208" t="s">
        <v>29</v>
      </c>
      <c r="E208" t="s">
        <v>33</v>
      </c>
      <c r="F208" s="2" t="s">
        <v>37</v>
      </c>
      <c r="G208" t="str">
        <f t="shared" si="23"/>
        <v>Oudgasm Tobacco Oud 04-UAE</v>
      </c>
      <c r="H208">
        <f t="shared" si="24"/>
        <v>1059</v>
      </c>
      <c r="I208">
        <f>VLOOKUP(G208,Table4[[SKU-COUNTRY2]:[Price in USD]],2,FALSE)</f>
        <v>148.77000000000001</v>
      </c>
      <c r="J208">
        <f>VLOOKUP(G208,Sheet3!$C$82:$I$100,MATCH(E208,Sheet3!C$82:H$82,0),FALSE) * VLOOKUP(C208,Table8[],2,0)</f>
        <v>157500</v>
      </c>
      <c r="K208">
        <f>ROUND(J208*VLOOKUP(F208,Sheet3!$A$106:$C$111,2,FALSE),0)</f>
        <v>55125</v>
      </c>
      <c r="L208">
        <f t="shared" si="21"/>
        <v>102375</v>
      </c>
      <c r="M208">
        <f t="shared" si="22"/>
        <v>65</v>
      </c>
      <c r="N208" t="str">
        <f t="shared" si="25"/>
        <v>Yes</v>
      </c>
      <c r="O208">
        <f t="shared" si="26"/>
        <v>20</v>
      </c>
      <c r="P208" t="str">
        <f t="shared" si="27"/>
        <v>Eid Al Fitr</v>
      </c>
      <c r="Q208" t="s">
        <v>124</v>
      </c>
    </row>
    <row r="209" spans="1:17" x14ac:dyDescent="0.3">
      <c r="A209">
        <v>208</v>
      </c>
      <c r="B209" t="s">
        <v>17</v>
      </c>
      <c r="C209" s="1">
        <v>45717</v>
      </c>
      <c r="D209" t="s">
        <v>29</v>
      </c>
      <c r="E209" t="s">
        <v>33</v>
      </c>
      <c r="F209" s="2" t="s">
        <v>38</v>
      </c>
      <c r="G209" t="str">
        <f t="shared" si="23"/>
        <v>Yum Pistachio Gelato 33-UAE</v>
      </c>
      <c r="H209">
        <f t="shared" si="24"/>
        <v>476</v>
      </c>
      <c r="I209">
        <f>VLOOKUP(G209,Table4[[SKU-COUNTRY2]:[Price in USD]],2,FALSE)</f>
        <v>113.4</v>
      </c>
      <c r="J209">
        <f>VLOOKUP(G209,Sheet3!$C$82:$I$100,MATCH(E209,Sheet3!C$82:H$82,0),FALSE) * VLOOKUP(C209,Table8[],2,0)</f>
        <v>54000</v>
      </c>
      <c r="K209">
        <f>ROUND(J209*VLOOKUP(F209,Sheet3!$A$106:$C$111,2,FALSE),0)</f>
        <v>16740</v>
      </c>
      <c r="L209">
        <f t="shared" si="21"/>
        <v>37260</v>
      </c>
      <c r="M209">
        <f t="shared" si="22"/>
        <v>69</v>
      </c>
      <c r="N209" t="str">
        <f t="shared" si="25"/>
        <v>Yes</v>
      </c>
      <c r="O209">
        <f t="shared" si="26"/>
        <v>20</v>
      </c>
      <c r="P209" t="str">
        <f t="shared" si="27"/>
        <v>Eid Al Fitr</v>
      </c>
      <c r="Q209" t="s">
        <v>124</v>
      </c>
    </row>
    <row r="210" spans="1:17" x14ac:dyDescent="0.3">
      <c r="A210">
        <v>209</v>
      </c>
      <c r="B210" t="s">
        <v>17</v>
      </c>
      <c r="C210" s="1">
        <v>45717</v>
      </c>
      <c r="D210" t="s">
        <v>29</v>
      </c>
      <c r="E210" t="s">
        <v>33</v>
      </c>
      <c r="F210" s="2" t="s">
        <v>39</v>
      </c>
      <c r="G210" t="str">
        <f t="shared" si="23"/>
        <v>Freedom Musk Santal 34-UAE</v>
      </c>
      <c r="H210">
        <f t="shared" si="24"/>
        <v>397</v>
      </c>
      <c r="I210">
        <f>VLOOKUP(G210,Table4[[SKU-COUNTRY2]:[Price in USD]],2,FALSE)</f>
        <v>113.4</v>
      </c>
      <c r="J210">
        <f>VLOOKUP(G210,Sheet3!$C$82:$I$100,MATCH(E210,Sheet3!C$82:H$82,0),FALSE) * VLOOKUP(C210,Table8[],2,0)</f>
        <v>45000</v>
      </c>
      <c r="K210">
        <f>ROUND(J210*VLOOKUP(F210,Sheet3!$A$106:$C$111,2,FALSE),0)</f>
        <v>14400</v>
      </c>
      <c r="L210">
        <f t="shared" si="21"/>
        <v>30600</v>
      </c>
      <c r="M210">
        <f t="shared" si="22"/>
        <v>68</v>
      </c>
      <c r="N210" t="str">
        <f t="shared" si="25"/>
        <v>Yes</v>
      </c>
      <c r="O210">
        <f t="shared" si="26"/>
        <v>20</v>
      </c>
      <c r="P210" t="str">
        <f t="shared" si="27"/>
        <v>Eid Al Fitr</v>
      </c>
      <c r="Q210" t="s">
        <v>124</v>
      </c>
    </row>
    <row r="211" spans="1:17" x14ac:dyDescent="0.3">
      <c r="A211">
        <v>210</v>
      </c>
      <c r="B211" t="s">
        <v>17</v>
      </c>
      <c r="C211" s="1">
        <v>45717</v>
      </c>
      <c r="D211" t="s">
        <v>29</v>
      </c>
      <c r="E211" t="s">
        <v>33</v>
      </c>
      <c r="F211" s="2" t="s">
        <v>40</v>
      </c>
      <c r="G211" t="str">
        <f t="shared" si="23"/>
        <v>Musk 12-UAE</v>
      </c>
      <c r="H211">
        <f t="shared" si="24"/>
        <v>317</v>
      </c>
      <c r="I211">
        <f>VLOOKUP(G211,Table4[[SKU-COUNTRY2]:[Price in USD]],2,FALSE)</f>
        <v>113.4</v>
      </c>
      <c r="J211">
        <f>VLOOKUP(G211,Sheet3!$C$82:$I$100,MATCH(E211,Sheet3!C$82:H$82,0),FALSE) * VLOOKUP(C211,Table8[],2,0)</f>
        <v>36000</v>
      </c>
      <c r="K211">
        <f>ROUND(J211*VLOOKUP(F211,Sheet3!$A$106:$C$111,2,FALSE),0)</f>
        <v>10800</v>
      </c>
      <c r="L211">
        <f t="shared" si="21"/>
        <v>25200</v>
      </c>
      <c r="M211">
        <f t="shared" si="22"/>
        <v>70</v>
      </c>
      <c r="N211" t="str">
        <f t="shared" si="25"/>
        <v>Yes</v>
      </c>
      <c r="O211">
        <f t="shared" si="26"/>
        <v>20</v>
      </c>
      <c r="P211" t="str">
        <f t="shared" si="27"/>
        <v>Eid Al Fitr</v>
      </c>
      <c r="Q211" t="s">
        <v>124</v>
      </c>
    </row>
    <row r="212" spans="1:17" x14ac:dyDescent="0.3">
      <c r="A212">
        <v>211</v>
      </c>
      <c r="B212" t="s">
        <v>17</v>
      </c>
      <c r="C212" s="1">
        <v>45717</v>
      </c>
      <c r="D212" t="s">
        <v>29</v>
      </c>
      <c r="E212" t="s">
        <v>34</v>
      </c>
      <c r="F212" s="2" t="s">
        <v>35</v>
      </c>
      <c r="G212" t="str">
        <f t="shared" si="23"/>
        <v>Vanilla 28-UAE</v>
      </c>
      <c r="H212">
        <f t="shared" si="24"/>
        <v>397</v>
      </c>
      <c r="I212">
        <f>VLOOKUP(G212,Table4[[SKU-COUNTRY2]:[Price in USD]],2,FALSE)</f>
        <v>113.4</v>
      </c>
      <c r="J212">
        <f>VLOOKUP(G212,Sheet3!$C$82:$I$100,MATCH(E212,Sheet3!C$82:H$82,0),FALSE) * VLOOKUP(C212,Table8[],2,0)</f>
        <v>45000</v>
      </c>
      <c r="K212">
        <f>ROUND(J212*VLOOKUP(F212,Sheet3!$A$106:$C$111,2,FALSE),0)</f>
        <v>13500</v>
      </c>
      <c r="L212">
        <f t="shared" si="21"/>
        <v>31500</v>
      </c>
      <c r="M212">
        <f t="shared" si="22"/>
        <v>70</v>
      </c>
      <c r="N212" t="str">
        <f t="shared" si="25"/>
        <v>Yes</v>
      </c>
      <c r="O212">
        <f t="shared" si="26"/>
        <v>20</v>
      </c>
      <c r="P212" t="str">
        <f t="shared" si="27"/>
        <v>Eid Al Fitr</v>
      </c>
      <c r="Q212" t="s">
        <v>124</v>
      </c>
    </row>
    <row r="213" spans="1:17" x14ac:dyDescent="0.3">
      <c r="A213">
        <v>212</v>
      </c>
      <c r="B213" t="s">
        <v>17</v>
      </c>
      <c r="C213" s="1">
        <v>45717</v>
      </c>
      <c r="D213" t="s">
        <v>29</v>
      </c>
      <c r="E213" t="s">
        <v>34</v>
      </c>
      <c r="F213" s="2" t="s">
        <v>36</v>
      </c>
      <c r="G213" t="str">
        <f t="shared" si="23"/>
        <v>Eden Juicy Apple 01-UAE</v>
      </c>
      <c r="H213">
        <f t="shared" si="24"/>
        <v>298</v>
      </c>
      <c r="I213">
        <f>VLOOKUP(G213,Table4[[SKU-COUNTRY2]:[Price in USD]],2,FALSE)</f>
        <v>113.4</v>
      </c>
      <c r="J213">
        <f>VLOOKUP(G213,Sheet3!$C$82:$I$100,MATCH(E213,Sheet3!C$82:H$82,0),FALSE) * VLOOKUP(C213,Table8[],2,0)</f>
        <v>33750</v>
      </c>
      <c r="K213">
        <f>ROUND(J213*VLOOKUP(F213,Sheet3!$A$106:$C$111,2,FALSE),0)</f>
        <v>10463</v>
      </c>
      <c r="L213">
        <f t="shared" si="21"/>
        <v>23287</v>
      </c>
      <c r="M213">
        <f t="shared" si="22"/>
        <v>69</v>
      </c>
      <c r="N213" t="str">
        <f t="shared" si="25"/>
        <v>Yes</v>
      </c>
      <c r="O213">
        <f t="shared" si="26"/>
        <v>20</v>
      </c>
      <c r="P213" t="str">
        <f t="shared" si="27"/>
        <v>Eid Al Fitr</v>
      </c>
      <c r="Q213" t="s">
        <v>124</v>
      </c>
    </row>
    <row r="214" spans="1:17" x14ac:dyDescent="0.3">
      <c r="A214">
        <v>213</v>
      </c>
      <c r="B214" t="s">
        <v>17</v>
      </c>
      <c r="C214" s="1">
        <v>45717</v>
      </c>
      <c r="D214" t="s">
        <v>29</v>
      </c>
      <c r="E214" t="s">
        <v>34</v>
      </c>
      <c r="F214" s="2" t="s">
        <v>37</v>
      </c>
      <c r="G214" t="str">
        <f t="shared" si="23"/>
        <v>Oudgasm Tobacco Oud 04-UAE</v>
      </c>
      <c r="H214">
        <f t="shared" si="24"/>
        <v>529</v>
      </c>
      <c r="I214">
        <f>VLOOKUP(G214,Table4[[SKU-COUNTRY2]:[Price in USD]],2,FALSE)</f>
        <v>148.77000000000001</v>
      </c>
      <c r="J214">
        <f>VLOOKUP(G214,Sheet3!$C$82:$I$100,MATCH(E214,Sheet3!C$82:H$82,0),FALSE) * VLOOKUP(C214,Table8[],2,0)</f>
        <v>78750</v>
      </c>
      <c r="K214">
        <f>ROUND(J214*VLOOKUP(F214,Sheet3!$A$106:$C$111,2,FALSE),0)</f>
        <v>27563</v>
      </c>
      <c r="L214">
        <f t="shared" si="21"/>
        <v>51187</v>
      </c>
      <c r="M214">
        <f t="shared" si="22"/>
        <v>65</v>
      </c>
      <c r="N214" t="str">
        <f t="shared" si="25"/>
        <v>Yes</v>
      </c>
      <c r="O214">
        <f t="shared" si="26"/>
        <v>20</v>
      </c>
      <c r="P214" t="str">
        <f t="shared" si="27"/>
        <v>Eid Al Fitr</v>
      </c>
      <c r="Q214" t="s">
        <v>124</v>
      </c>
    </row>
    <row r="215" spans="1:17" x14ac:dyDescent="0.3">
      <c r="A215">
        <v>214</v>
      </c>
      <c r="B215" t="s">
        <v>17</v>
      </c>
      <c r="C215" s="1">
        <v>45717</v>
      </c>
      <c r="D215" t="s">
        <v>29</v>
      </c>
      <c r="E215" t="s">
        <v>34</v>
      </c>
      <c r="F215" s="2" t="s">
        <v>38</v>
      </c>
      <c r="G215" t="str">
        <f t="shared" si="23"/>
        <v>Yum Pistachio Gelato 33-UAE</v>
      </c>
      <c r="H215">
        <f t="shared" si="24"/>
        <v>238</v>
      </c>
      <c r="I215">
        <f>VLOOKUP(G215,Table4[[SKU-COUNTRY2]:[Price in USD]],2,FALSE)</f>
        <v>113.4</v>
      </c>
      <c r="J215">
        <f>VLOOKUP(G215,Sheet3!$C$82:$I$100,MATCH(E215,Sheet3!C$82:H$82,0),FALSE) * VLOOKUP(C215,Table8[],2,0)</f>
        <v>27000</v>
      </c>
      <c r="K215">
        <f>ROUND(J215*VLOOKUP(F215,Sheet3!$A$106:$C$111,2,FALSE),0)</f>
        <v>8370</v>
      </c>
      <c r="L215">
        <f t="shared" si="21"/>
        <v>18630</v>
      </c>
      <c r="M215">
        <f t="shared" si="22"/>
        <v>69</v>
      </c>
      <c r="N215" t="str">
        <f t="shared" si="25"/>
        <v>Yes</v>
      </c>
      <c r="O215">
        <f t="shared" si="26"/>
        <v>20</v>
      </c>
      <c r="P215" t="str">
        <f t="shared" si="27"/>
        <v>Eid Al Fitr</v>
      </c>
      <c r="Q215" t="s">
        <v>124</v>
      </c>
    </row>
    <row r="216" spans="1:17" x14ac:dyDescent="0.3">
      <c r="A216">
        <v>215</v>
      </c>
      <c r="B216" t="s">
        <v>17</v>
      </c>
      <c r="C216" s="1">
        <v>45717</v>
      </c>
      <c r="D216" t="s">
        <v>29</v>
      </c>
      <c r="E216" t="s">
        <v>34</v>
      </c>
      <c r="F216" s="2" t="s">
        <v>39</v>
      </c>
      <c r="G216" t="str">
        <f t="shared" si="23"/>
        <v>Freedom Musk Santal 34-UAE</v>
      </c>
      <c r="H216">
        <f t="shared" si="24"/>
        <v>198</v>
      </c>
      <c r="I216">
        <f>VLOOKUP(G216,Table4[[SKU-COUNTRY2]:[Price in USD]],2,FALSE)</f>
        <v>113.4</v>
      </c>
      <c r="J216">
        <f>VLOOKUP(G216,Sheet3!$C$82:$I$100,MATCH(E216,Sheet3!C$82:H$82,0),FALSE) * VLOOKUP(C216,Table8[],2,0)</f>
        <v>22500</v>
      </c>
      <c r="K216">
        <f>ROUND(J216*VLOOKUP(F216,Sheet3!$A$106:$C$111,2,FALSE),0)</f>
        <v>7200</v>
      </c>
      <c r="L216">
        <f t="shared" si="21"/>
        <v>15300</v>
      </c>
      <c r="M216">
        <f t="shared" si="22"/>
        <v>68</v>
      </c>
      <c r="N216" t="str">
        <f t="shared" si="25"/>
        <v>Yes</v>
      </c>
      <c r="O216">
        <f t="shared" si="26"/>
        <v>20</v>
      </c>
      <c r="P216" t="str">
        <f t="shared" si="27"/>
        <v>Eid Al Fitr</v>
      </c>
      <c r="Q216" t="s">
        <v>124</v>
      </c>
    </row>
    <row r="217" spans="1:17" x14ac:dyDescent="0.3">
      <c r="A217">
        <v>216</v>
      </c>
      <c r="B217" t="s">
        <v>17</v>
      </c>
      <c r="C217" s="1">
        <v>45717</v>
      </c>
      <c r="D217" t="s">
        <v>29</v>
      </c>
      <c r="E217" t="s">
        <v>34</v>
      </c>
      <c r="F217" s="2" t="s">
        <v>40</v>
      </c>
      <c r="G217" t="str">
        <f t="shared" si="23"/>
        <v>Musk 12-UAE</v>
      </c>
      <c r="H217">
        <f t="shared" si="24"/>
        <v>159</v>
      </c>
      <c r="I217">
        <f>VLOOKUP(G217,Table4[[SKU-COUNTRY2]:[Price in USD]],2,FALSE)</f>
        <v>113.4</v>
      </c>
      <c r="J217">
        <f>VLOOKUP(G217,Sheet3!$C$82:$I$100,MATCH(E217,Sheet3!C$82:H$82,0),FALSE) * VLOOKUP(C217,Table8[],2,0)</f>
        <v>18000</v>
      </c>
      <c r="K217">
        <f>ROUND(J217*VLOOKUP(F217,Sheet3!$A$106:$C$111,2,FALSE),0)</f>
        <v>5400</v>
      </c>
      <c r="L217">
        <f t="shared" si="21"/>
        <v>12600</v>
      </c>
      <c r="M217">
        <f t="shared" si="22"/>
        <v>70</v>
      </c>
      <c r="N217" t="str">
        <f t="shared" si="25"/>
        <v>Yes</v>
      </c>
      <c r="O217">
        <f t="shared" si="26"/>
        <v>20</v>
      </c>
      <c r="P217" t="str">
        <f t="shared" si="27"/>
        <v>Eid Al Fitr</v>
      </c>
      <c r="Q217" t="s">
        <v>124</v>
      </c>
    </row>
    <row r="218" spans="1:17" x14ac:dyDescent="0.3">
      <c r="A218">
        <v>217</v>
      </c>
      <c r="B218" t="s">
        <v>18</v>
      </c>
      <c r="C218" s="1">
        <v>45748</v>
      </c>
      <c r="D218" t="s">
        <v>28</v>
      </c>
      <c r="E218" t="s">
        <v>32</v>
      </c>
      <c r="F218" s="2" t="s">
        <v>35</v>
      </c>
      <c r="G218" t="str">
        <f t="shared" si="23"/>
        <v>Vanilla 28-USA</v>
      </c>
      <c r="H218">
        <f t="shared" si="24"/>
        <v>21817</v>
      </c>
      <c r="I218">
        <f>VLOOKUP(G218,Table4[[SKU-COUNTRY2]:[Price in USD]],2,FALSE)</f>
        <v>105</v>
      </c>
      <c r="J218">
        <f>VLOOKUP(G218,Sheet3!$C$82:$I$100,MATCH(E218,Sheet3!C$82:H$82,0),FALSE) * VLOOKUP(C218,Table8[],2,0)</f>
        <v>2290750</v>
      </c>
      <c r="K218">
        <f>ROUND(J218*VLOOKUP(F218,Sheet3!$A$106:$C$111,2,FALSE),0)</f>
        <v>687225</v>
      </c>
      <c r="L218">
        <f t="shared" si="21"/>
        <v>1603525</v>
      </c>
      <c r="M218">
        <f t="shared" si="22"/>
        <v>70</v>
      </c>
      <c r="N218" t="str">
        <f t="shared" si="25"/>
        <v>No</v>
      </c>
      <c r="O218">
        <f t="shared" si="26"/>
        <v>0</v>
      </c>
      <c r="P218" t="str">
        <f t="shared" si="27"/>
        <v>None</v>
      </c>
      <c r="Q218" t="s">
        <v>124</v>
      </c>
    </row>
    <row r="219" spans="1:17" x14ac:dyDescent="0.3">
      <c r="A219">
        <v>218</v>
      </c>
      <c r="B219" t="s">
        <v>18</v>
      </c>
      <c r="C219" s="1">
        <v>45748</v>
      </c>
      <c r="D219" t="s">
        <v>28</v>
      </c>
      <c r="E219" t="s">
        <v>32</v>
      </c>
      <c r="F219" s="2" t="s">
        <v>36</v>
      </c>
      <c r="G219" t="str">
        <f t="shared" si="23"/>
        <v>Eden Juicy Apple 01-USA</v>
      </c>
      <c r="H219">
        <f t="shared" si="24"/>
        <v>12467</v>
      </c>
      <c r="I219">
        <f>VLOOKUP(G219,Table4[[SKU-COUNTRY2]:[Price in USD]],2,FALSE)</f>
        <v>105</v>
      </c>
      <c r="J219">
        <f>VLOOKUP(G219,Sheet3!$C$82:$I$100,MATCH(E219,Sheet3!C$82:H$82,0),FALSE) * VLOOKUP(C219,Table8[],2,0)</f>
        <v>1309000.0000000002</v>
      </c>
      <c r="K219">
        <f>ROUND(J219*VLOOKUP(F219,Sheet3!$A$106:$C$111,2,FALSE),0)</f>
        <v>405790</v>
      </c>
      <c r="L219">
        <f t="shared" si="21"/>
        <v>903210.00000000023</v>
      </c>
      <c r="M219">
        <f t="shared" si="22"/>
        <v>69</v>
      </c>
      <c r="N219" t="str">
        <f t="shared" si="25"/>
        <v>No</v>
      </c>
      <c r="O219">
        <f t="shared" si="26"/>
        <v>0</v>
      </c>
      <c r="P219" t="str">
        <f t="shared" si="27"/>
        <v>None</v>
      </c>
      <c r="Q219" t="s">
        <v>124</v>
      </c>
    </row>
    <row r="220" spans="1:17" x14ac:dyDescent="0.3">
      <c r="A220">
        <v>219</v>
      </c>
      <c r="B220" t="s">
        <v>18</v>
      </c>
      <c r="C220" s="1">
        <v>45748</v>
      </c>
      <c r="D220" t="s">
        <v>28</v>
      </c>
      <c r="E220" t="s">
        <v>32</v>
      </c>
      <c r="F220" s="2" t="s">
        <v>37</v>
      </c>
      <c r="G220" t="str">
        <f t="shared" si="23"/>
        <v>Oudgasm Tobacco Oud 04-USA</v>
      </c>
      <c r="H220">
        <f t="shared" si="24"/>
        <v>8415</v>
      </c>
      <c r="I220">
        <f>VLOOKUP(G220,Table4[[SKU-COUNTRY2]:[Price in USD]],2,FALSE)</f>
        <v>140</v>
      </c>
      <c r="J220">
        <f>VLOOKUP(G220,Sheet3!$C$82:$I$100,MATCH(E220,Sheet3!C$82:H$82,0),FALSE) * VLOOKUP(C220,Table8[],2,0)</f>
        <v>1178100</v>
      </c>
      <c r="K220">
        <f>ROUND(J220*VLOOKUP(F220,Sheet3!$A$106:$C$111,2,FALSE),0)</f>
        <v>412335</v>
      </c>
      <c r="L220">
        <f t="shared" si="21"/>
        <v>765765</v>
      </c>
      <c r="M220">
        <f t="shared" si="22"/>
        <v>65</v>
      </c>
      <c r="N220" t="str">
        <f t="shared" si="25"/>
        <v>No</v>
      </c>
      <c r="O220">
        <f t="shared" si="26"/>
        <v>0</v>
      </c>
      <c r="P220" t="str">
        <f t="shared" si="27"/>
        <v>None</v>
      </c>
      <c r="Q220" t="s">
        <v>124</v>
      </c>
    </row>
    <row r="221" spans="1:17" x14ac:dyDescent="0.3">
      <c r="A221">
        <v>220</v>
      </c>
      <c r="B221" t="s">
        <v>18</v>
      </c>
      <c r="C221" s="1">
        <v>45748</v>
      </c>
      <c r="D221" t="s">
        <v>28</v>
      </c>
      <c r="E221" t="s">
        <v>32</v>
      </c>
      <c r="F221" s="2" t="s">
        <v>38</v>
      </c>
      <c r="G221" t="str">
        <f t="shared" si="23"/>
        <v>Yum Pistachio Gelato 33-USA</v>
      </c>
      <c r="H221">
        <f t="shared" si="24"/>
        <v>7480</v>
      </c>
      <c r="I221">
        <f>VLOOKUP(G221,Table4[[SKU-COUNTRY2]:[Price in USD]],2,FALSE)</f>
        <v>105</v>
      </c>
      <c r="J221">
        <f>VLOOKUP(G221,Sheet3!$C$82:$I$100,MATCH(E221,Sheet3!C$82:H$82,0),FALSE) * VLOOKUP(C221,Table8[],2,0)</f>
        <v>785400.00000000012</v>
      </c>
      <c r="K221">
        <f>ROUND(J221*VLOOKUP(F221,Sheet3!$A$106:$C$111,2,FALSE),0)</f>
        <v>243474</v>
      </c>
      <c r="L221">
        <f t="shared" si="21"/>
        <v>541926.00000000012</v>
      </c>
      <c r="M221">
        <f t="shared" si="22"/>
        <v>69</v>
      </c>
      <c r="N221" t="str">
        <f t="shared" si="25"/>
        <v>No</v>
      </c>
      <c r="O221">
        <f t="shared" si="26"/>
        <v>0</v>
      </c>
      <c r="P221" t="str">
        <f t="shared" si="27"/>
        <v>None</v>
      </c>
      <c r="Q221" t="s">
        <v>124</v>
      </c>
    </row>
    <row r="222" spans="1:17" x14ac:dyDescent="0.3">
      <c r="A222">
        <v>221</v>
      </c>
      <c r="B222" t="s">
        <v>18</v>
      </c>
      <c r="C222" s="1">
        <v>45748</v>
      </c>
      <c r="D222" t="s">
        <v>28</v>
      </c>
      <c r="E222" t="s">
        <v>32</v>
      </c>
      <c r="F222" s="2" t="s">
        <v>39</v>
      </c>
      <c r="G222" t="str">
        <f t="shared" si="23"/>
        <v>Freedom Musk Santal 34-USA</v>
      </c>
      <c r="H222">
        <f t="shared" si="24"/>
        <v>6233</v>
      </c>
      <c r="I222">
        <f>VLOOKUP(G222,Table4[[SKU-COUNTRY2]:[Price in USD]],2,FALSE)</f>
        <v>105</v>
      </c>
      <c r="J222">
        <f>VLOOKUP(G222,Sheet3!$C$82:$I$100,MATCH(E222,Sheet3!C$82:H$82,0),FALSE) * VLOOKUP(C222,Table8[],2,0)</f>
        <v>654500.00000000012</v>
      </c>
      <c r="K222">
        <f>ROUND(J222*VLOOKUP(F222,Sheet3!$A$106:$C$111,2,FALSE),0)</f>
        <v>209440</v>
      </c>
      <c r="L222">
        <f t="shared" si="21"/>
        <v>445060.00000000012</v>
      </c>
      <c r="M222">
        <f t="shared" si="22"/>
        <v>68</v>
      </c>
      <c r="N222" t="str">
        <f t="shared" si="25"/>
        <v>No</v>
      </c>
      <c r="O222">
        <f t="shared" si="26"/>
        <v>0</v>
      </c>
      <c r="P222" t="str">
        <f t="shared" si="27"/>
        <v>None</v>
      </c>
      <c r="Q222" t="s">
        <v>124</v>
      </c>
    </row>
    <row r="223" spans="1:17" x14ac:dyDescent="0.3">
      <c r="A223">
        <v>222</v>
      </c>
      <c r="B223" t="s">
        <v>18</v>
      </c>
      <c r="C223" s="1">
        <v>45748</v>
      </c>
      <c r="D223" t="s">
        <v>28</v>
      </c>
      <c r="E223" t="s">
        <v>32</v>
      </c>
      <c r="F223" s="2" t="s">
        <v>40</v>
      </c>
      <c r="G223" t="str">
        <f t="shared" si="23"/>
        <v>Musk 12-USA</v>
      </c>
      <c r="H223">
        <f t="shared" si="24"/>
        <v>3117</v>
      </c>
      <c r="I223">
        <f>VLOOKUP(G223,Table4[[SKU-COUNTRY2]:[Price in USD]],2,FALSE)</f>
        <v>105</v>
      </c>
      <c r="J223">
        <f>VLOOKUP(G223,Sheet3!$C$82:$I$100,MATCH(E223,Sheet3!C$82:H$82,0),FALSE) * VLOOKUP(C223,Table8[],2,0)</f>
        <v>327250.00000000006</v>
      </c>
      <c r="K223">
        <f>ROUND(J223*VLOOKUP(F223,Sheet3!$A$106:$C$111,2,FALSE),0)</f>
        <v>98175</v>
      </c>
      <c r="L223">
        <f t="shared" si="21"/>
        <v>229075.00000000006</v>
      </c>
      <c r="M223">
        <f t="shared" si="22"/>
        <v>70</v>
      </c>
      <c r="N223" t="str">
        <f t="shared" si="25"/>
        <v>No</v>
      </c>
      <c r="O223">
        <f t="shared" si="26"/>
        <v>0</v>
      </c>
      <c r="P223" t="str">
        <f t="shared" si="27"/>
        <v>None</v>
      </c>
      <c r="Q223" t="s">
        <v>124</v>
      </c>
    </row>
    <row r="224" spans="1:17" x14ac:dyDescent="0.3">
      <c r="A224">
        <v>223</v>
      </c>
      <c r="B224" t="s">
        <v>18</v>
      </c>
      <c r="C224" s="1">
        <v>45748</v>
      </c>
      <c r="D224" t="s">
        <v>28</v>
      </c>
      <c r="E224" t="s">
        <v>31</v>
      </c>
      <c r="F224" s="2" t="s">
        <v>35</v>
      </c>
      <c r="G224" t="str">
        <f t="shared" si="23"/>
        <v>Vanilla 28-USA</v>
      </c>
      <c r="H224">
        <f t="shared" si="24"/>
        <v>9917</v>
      </c>
      <c r="I224">
        <f>VLOOKUP(G224,Table4[[SKU-COUNTRY2]:[Price in USD]],2,FALSE)</f>
        <v>105</v>
      </c>
      <c r="J224">
        <f>VLOOKUP(G224,Sheet3!$C$82:$I$100,MATCH(E224,Sheet3!C$82:H$82,0),FALSE) * VLOOKUP(C224,Table8[],2,0)</f>
        <v>1041250</v>
      </c>
      <c r="K224">
        <f>ROUND(J224*VLOOKUP(F224,Sheet3!$A$106:$C$111,2,FALSE),0)</f>
        <v>312375</v>
      </c>
      <c r="L224">
        <f t="shared" si="21"/>
        <v>728875</v>
      </c>
      <c r="M224">
        <f t="shared" si="22"/>
        <v>70</v>
      </c>
      <c r="N224" t="str">
        <f t="shared" si="25"/>
        <v>No</v>
      </c>
      <c r="O224">
        <f t="shared" si="26"/>
        <v>0</v>
      </c>
      <c r="P224" t="str">
        <f t="shared" si="27"/>
        <v>None</v>
      </c>
      <c r="Q224" t="s">
        <v>124</v>
      </c>
    </row>
    <row r="225" spans="1:17" x14ac:dyDescent="0.3">
      <c r="A225">
        <v>224</v>
      </c>
      <c r="B225" t="s">
        <v>18</v>
      </c>
      <c r="C225" s="1">
        <v>45748</v>
      </c>
      <c r="D225" t="s">
        <v>28</v>
      </c>
      <c r="E225" t="s">
        <v>31</v>
      </c>
      <c r="F225" s="2" t="s">
        <v>36</v>
      </c>
      <c r="G225" t="str">
        <f t="shared" si="23"/>
        <v>Eden Juicy Apple 01-USA</v>
      </c>
      <c r="H225">
        <f t="shared" si="24"/>
        <v>5667</v>
      </c>
      <c r="I225">
        <f>VLOOKUP(G225,Table4[[SKU-COUNTRY2]:[Price in USD]],2,FALSE)</f>
        <v>105</v>
      </c>
      <c r="J225">
        <f>VLOOKUP(G225,Sheet3!$C$82:$I$100,MATCH(E225,Sheet3!C$82:H$82,0),FALSE) * VLOOKUP(C225,Table8[],2,0)</f>
        <v>595000</v>
      </c>
      <c r="K225">
        <f>ROUND(J225*VLOOKUP(F225,Sheet3!$A$106:$C$111,2,FALSE),0)</f>
        <v>184450</v>
      </c>
      <c r="L225">
        <f t="shared" si="21"/>
        <v>410550</v>
      </c>
      <c r="M225">
        <f t="shared" si="22"/>
        <v>69</v>
      </c>
      <c r="N225" t="str">
        <f t="shared" si="25"/>
        <v>No</v>
      </c>
      <c r="O225">
        <f t="shared" si="26"/>
        <v>0</v>
      </c>
      <c r="P225" t="str">
        <f t="shared" si="27"/>
        <v>None</v>
      </c>
      <c r="Q225" t="s">
        <v>124</v>
      </c>
    </row>
    <row r="226" spans="1:17" x14ac:dyDescent="0.3">
      <c r="A226">
        <v>225</v>
      </c>
      <c r="B226" t="s">
        <v>18</v>
      </c>
      <c r="C226" s="1">
        <v>45748</v>
      </c>
      <c r="D226" t="s">
        <v>28</v>
      </c>
      <c r="E226" t="s">
        <v>31</v>
      </c>
      <c r="F226" s="2" t="s">
        <v>37</v>
      </c>
      <c r="G226" t="str">
        <f t="shared" si="23"/>
        <v>Oudgasm Tobacco Oud 04-USA</v>
      </c>
      <c r="H226">
        <f t="shared" si="24"/>
        <v>3825</v>
      </c>
      <c r="I226">
        <f>VLOOKUP(G226,Table4[[SKU-COUNTRY2]:[Price in USD]],2,FALSE)</f>
        <v>140</v>
      </c>
      <c r="J226">
        <f>VLOOKUP(G226,Sheet3!$C$82:$I$100,MATCH(E226,Sheet3!C$82:H$82,0),FALSE) * VLOOKUP(C226,Table8[],2,0)</f>
        <v>535500</v>
      </c>
      <c r="K226">
        <f>ROUND(J226*VLOOKUP(F226,Sheet3!$A$106:$C$111,2,FALSE),0)</f>
        <v>187425</v>
      </c>
      <c r="L226">
        <f t="shared" si="21"/>
        <v>348075</v>
      </c>
      <c r="M226">
        <f t="shared" si="22"/>
        <v>65</v>
      </c>
      <c r="N226" t="str">
        <f t="shared" si="25"/>
        <v>No</v>
      </c>
      <c r="O226">
        <f t="shared" si="26"/>
        <v>0</v>
      </c>
      <c r="P226" t="str">
        <f t="shared" si="27"/>
        <v>None</v>
      </c>
      <c r="Q226" t="s">
        <v>124</v>
      </c>
    </row>
    <row r="227" spans="1:17" x14ac:dyDescent="0.3">
      <c r="A227">
        <v>226</v>
      </c>
      <c r="B227" t="s">
        <v>18</v>
      </c>
      <c r="C227" s="1">
        <v>45748</v>
      </c>
      <c r="D227" t="s">
        <v>28</v>
      </c>
      <c r="E227" t="s">
        <v>31</v>
      </c>
      <c r="F227" s="2" t="s">
        <v>38</v>
      </c>
      <c r="G227" t="str">
        <f t="shared" si="23"/>
        <v>Yum Pistachio Gelato 33-USA</v>
      </c>
      <c r="H227">
        <f t="shared" si="24"/>
        <v>3400</v>
      </c>
      <c r="I227">
        <f>VLOOKUP(G227,Table4[[SKU-COUNTRY2]:[Price in USD]],2,FALSE)</f>
        <v>105</v>
      </c>
      <c r="J227">
        <f>VLOOKUP(G227,Sheet3!$C$82:$I$100,MATCH(E227,Sheet3!C$82:H$82,0),FALSE) * VLOOKUP(C227,Table8[],2,0)</f>
        <v>357000</v>
      </c>
      <c r="K227">
        <f>ROUND(J227*VLOOKUP(F227,Sheet3!$A$106:$C$111,2,FALSE),0)</f>
        <v>110670</v>
      </c>
      <c r="L227">
        <f t="shared" si="21"/>
        <v>246330</v>
      </c>
      <c r="M227">
        <f t="shared" si="22"/>
        <v>69</v>
      </c>
      <c r="N227" t="str">
        <f t="shared" si="25"/>
        <v>No</v>
      </c>
      <c r="O227">
        <f t="shared" si="26"/>
        <v>0</v>
      </c>
      <c r="P227" t="str">
        <f t="shared" si="27"/>
        <v>None</v>
      </c>
      <c r="Q227" t="s">
        <v>124</v>
      </c>
    </row>
    <row r="228" spans="1:17" x14ac:dyDescent="0.3">
      <c r="A228">
        <v>227</v>
      </c>
      <c r="B228" t="s">
        <v>18</v>
      </c>
      <c r="C228" s="1">
        <v>45748</v>
      </c>
      <c r="D228" t="s">
        <v>28</v>
      </c>
      <c r="E228" t="s">
        <v>31</v>
      </c>
      <c r="F228" s="2" t="s">
        <v>39</v>
      </c>
      <c r="G228" t="str">
        <f t="shared" si="23"/>
        <v>Freedom Musk Santal 34-USA</v>
      </c>
      <c r="H228">
        <f t="shared" si="24"/>
        <v>2833</v>
      </c>
      <c r="I228">
        <f>VLOOKUP(G228,Table4[[SKU-COUNTRY2]:[Price in USD]],2,FALSE)</f>
        <v>105</v>
      </c>
      <c r="J228">
        <f>VLOOKUP(G228,Sheet3!$C$82:$I$100,MATCH(E228,Sheet3!C$82:H$82,0),FALSE) * VLOOKUP(C228,Table8[],2,0)</f>
        <v>297500</v>
      </c>
      <c r="K228">
        <f>ROUND(J228*VLOOKUP(F228,Sheet3!$A$106:$C$111,2,FALSE),0)</f>
        <v>95200</v>
      </c>
      <c r="L228">
        <f t="shared" si="21"/>
        <v>202300</v>
      </c>
      <c r="M228">
        <f t="shared" si="22"/>
        <v>68</v>
      </c>
      <c r="N228" t="str">
        <f t="shared" si="25"/>
        <v>No</v>
      </c>
      <c r="O228">
        <f t="shared" si="26"/>
        <v>0</v>
      </c>
      <c r="P228" t="str">
        <f t="shared" si="27"/>
        <v>None</v>
      </c>
      <c r="Q228" t="s">
        <v>124</v>
      </c>
    </row>
    <row r="229" spans="1:17" x14ac:dyDescent="0.3">
      <c r="A229">
        <v>228</v>
      </c>
      <c r="B229" t="s">
        <v>18</v>
      </c>
      <c r="C229" s="1">
        <v>45748</v>
      </c>
      <c r="D229" t="s">
        <v>28</v>
      </c>
      <c r="E229" t="s">
        <v>31</v>
      </c>
      <c r="F229" s="2" t="s">
        <v>40</v>
      </c>
      <c r="G229" t="str">
        <f t="shared" si="23"/>
        <v>Musk 12-USA</v>
      </c>
      <c r="H229">
        <f t="shared" si="24"/>
        <v>1417</v>
      </c>
      <c r="I229">
        <f>VLOOKUP(G229,Table4[[SKU-COUNTRY2]:[Price in USD]],2,FALSE)</f>
        <v>105</v>
      </c>
      <c r="J229">
        <f>VLOOKUP(G229,Sheet3!$C$82:$I$100,MATCH(E229,Sheet3!C$82:H$82,0),FALSE) * VLOOKUP(C229,Table8[],2,0)</f>
        <v>148750</v>
      </c>
      <c r="K229">
        <f>ROUND(J229*VLOOKUP(F229,Sheet3!$A$106:$C$111,2,FALSE),0)</f>
        <v>44625</v>
      </c>
      <c r="L229">
        <f t="shared" si="21"/>
        <v>104125</v>
      </c>
      <c r="M229">
        <f t="shared" si="22"/>
        <v>70</v>
      </c>
      <c r="N229" t="str">
        <f t="shared" si="25"/>
        <v>No</v>
      </c>
      <c r="O229">
        <f t="shared" si="26"/>
        <v>0</v>
      </c>
      <c r="P229" t="str">
        <f t="shared" si="27"/>
        <v>None</v>
      </c>
      <c r="Q229" t="s">
        <v>124</v>
      </c>
    </row>
    <row r="230" spans="1:17" x14ac:dyDescent="0.3">
      <c r="A230">
        <v>229</v>
      </c>
      <c r="B230" t="s">
        <v>18</v>
      </c>
      <c r="C230" s="1">
        <v>45748</v>
      </c>
      <c r="D230" t="s">
        <v>28</v>
      </c>
      <c r="E230" t="s">
        <v>33</v>
      </c>
      <c r="F230" s="2" t="s">
        <v>35</v>
      </c>
      <c r="G230" t="str">
        <f t="shared" si="23"/>
        <v>Vanilla 28-USA</v>
      </c>
      <c r="H230">
        <f t="shared" si="24"/>
        <v>4760</v>
      </c>
      <c r="I230">
        <f>VLOOKUP(G230,Table4[[SKU-COUNTRY2]:[Price in USD]],2,FALSE)</f>
        <v>105</v>
      </c>
      <c r="J230">
        <f>VLOOKUP(G230,Sheet3!$C$82:$I$100,MATCH(E230,Sheet3!C$82:H$82,0),FALSE) * VLOOKUP(C230,Table8[],2,0)</f>
        <v>499800</v>
      </c>
      <c r="K230">
        <f>ROUND(J230*VLOOKUP(F230,Sheet3!$A$106:$C$111,2,FALSE),0)</f>
        <v>149940</v>
      </c>
      <c r="L230">
        <f t="shared" si="21"/>
        <v>349860</v>
      </c>
      <c r="M230">
        <f t="shared" si="22"/>
        <v>70</v>
      </c>
      <c r="N230" t="str">
        <f t="shared" si="25"/>
        <v>No</v>
      </c>
      <c r="O230">
        <f t="shared" si="26"/>
        <v>0</v>
      </c>
      <c r="P230" t="str">
        <f t="shared" si="27"/>
        <v>None</v>
      </c>
      <c r="Q230" t="s">
        <v>124</v>
      </c>
    </row>
    <row r="231" spans="1:17" x14ac:dyDescent="0.3">
      <c r="A231">
        <v>230</v>
      </c>
      <c r="B231" t="s">
        <v>18</v>
      </c>
      <c r="C231" s="1">
        <v>45748</v>
      </c>
      <c r="D231" t="s">
        <v>28</v>
      </c>
      <c r="E231" t="s">
        <v>33</v>
      </c>
      <c r="F231" s="2" t="s">
        <v>36</v>
      </c>
      <c r="G231" t="str">
        <f t="shared" si="23"/>
        <v>Eden Juicy Apple 01-USA</v>
      </c>
      <c r="H231">
        <f t="shared" si="24"/>
        <v>2720</v>
      </c>
      <c r="I231">
        <f>VLOOKUP(G231,Table4[[SKU-COUNTRY2]:[Price in USD]],2,FALSE)</f>
        <v>105</v>
      </c>
      <c r="J231">
        <f>VLOOKUP(G231,Sheet3!$C$82:$I$100,MATCH(E231,Sheet3!C$82:H$82,0),FALSE) * VLOOKUP(C231,Table8[],2,0)</f>
        <v>285600</v>
      </c>
      <c r="K231">
        <f>ROUND(J231*VLOOKUP(F231,Sheet3!$A$106:$C$111,2,FALSE),0)</f>
        <v>88536</v>
      </c>
      <c r="L231">
        <f t="shared" si="21"/>
        <v>197064</v>
      </c>
      <c r="M231">
        <f t="shared" si="22"/>
        <v>69</v>
      </c>
      <c r="N231" t="str">
        <f t="shared" si="25"/>
        <v>No</v>
      </c>
      <c r="O231">
        <f t="shared" si="26"/>
        <v>0</v>
      </c>
      <c r="P231" t="str">
        <f t="shared" si="27"/>
        <v>None</v>
      </c>
      <c r="Q231" t="s">
        <v>124</v>
      </c>
    </row>
    <row r="232" spans="1:17" x14ac:dyDescent="0.3">
      <c r="A232">
        <v>231</v>
      </c>
      <c r="B232" t="s">
        <v>18</v>
      </c>
      <c r="C232" s="1">
        <v>45748</v>
      </c>
      <c r="D232" t="s">
        <v>28</v>
      </c>
      <c r="E232" t="s">
        <v>33</v>
      </c>
      <c r="F232" s="2" t="s">
        <v>37</v>
      </c>
      <c r="G232" t="str">
        <f t="shared" si="23"/>
        <v>Oudgasm Tobacco Oud 04-USA</v>
      </c>
      <c r="H232">
        <f t="shared" si="24"/>
        <v>1836</v>
      </c>
      <c r="I232">
        <f>VLOOKUP(G232,Table4[[SKU-COUNTRY2]:[Price in USD]],2,FALSE)</f>
        <v>140</v>
      </c>
      <c r="J232">
        <f>VLOOKUP(G232,Sheet3!$C$82:$I$100,MATCH(E232,Sheet3!C$82:H$82,0),FALSE) * VLOOKUP(C232,Table8[],2,0)</f>
        <v>257040</v>
      </c>
      <c r="K232">
        <f>ROUND(J232*VLOOKUP(F232,Sheet3!$A$106:$C$111,2,FALSE),0)</f>
        <v>89964</v>
      </c>
      <c r="L232">
        <f t="shared" si="21"/>
        <v>167076</v>
      </c>
      <c r="M232">
        <f t="shared" si="22"/>
        <v>65</v>
      </c>
      <c r="N232" t="str">
        <f t="shared" si="25"/>
        <v>No</v>
      </c>
      <c r="O232">
        <f t="shared" si="26"/>
        <v>0</v>
      </c>
      <c r="P232" t="str">
        <f t="shared" si="27"/>
        <v>None</v>
      </c>
      <c r="Q232" t="s">
        <v>124</v>
      </c>
    </row>
    <row r="233" spans="1:17" x14ac:dyDescent="0.3">
      <c r="A233">
        <v>232</v>
      </c>
      <c r="B233" t="s">
        <v>18</v>
      </c>
      <c r="C233" s="1">
        <v>45748</v>
      </c>
      <c r="D233" t="s">
        <v>28</v>
      </c>
      <c r="E233" t="s">
        <v>33</v>
      </c>
      <c r="F233" s="2" t="s">
        <v>38</v>
      </c>
      <c r="G233" t="str">
        <f t="shared" si="23"/>
        <v>Yum Pistachio Gelato 33-USA</v>
      </c>
      <c r="H233">
        <f t="shared" si="24"/>
        <v>1632</v>
      </c>
      <c r="I233">
        <f>VLOOKUP(G233,Table4[[SKU-COUNTRY2]:[Price in USD]],2,FALSE)</f>
        <v>105</v>
      </c>
      <c r="J233">
        <f>VLOOKUP(G233,Sheet3!$C$82:$I$100,MATCH(E233,Sheet3!C$82:H$82,0),FALSE) * VLOOKUP(C233,Table8[],2,0)</f>
        <v>171360</v>
      </c>
      <c r="K233">
        <f>ROUND(J233*VLOOKUP(F233,Sheet3!$A$106:$C$111,2,FALSE),0)</f>
        <v>53122</v>
      </c>
      <c r="L233">
        <f t="shared" si="21"/>
        <v>118238</v>
      </c>
      <c r="M233">
        <f t="shared" si="22"/>
        <v>69</v>
      </c>
      <c r="N233" t="str">
        <f t="shared" si="25"/>
        <v>No</v>
      </c>
      <c r="O233">
        <f t="shared" si="26"/>
        <v>0</v>
      </c>
      <c r="P233" t="str">
        <f t="shared" si="27"/>
        <v>None</v>
      </c>
      <c r="Q233" t="s">
        <v>124</v>
      </c>
    </row>
    <row r="234" spans="1:17" x14ac:dyDescent="0.3">
      <c r="A234">
        <v>233</v>
      </c>
      <c r="B234" t="s">
        <v>18</v>
      </c>
      <c r="C234" s="1">
        <v>45748</v>
      </c>
      <c r="D234" t="s">
        <v>28</v>
      </c>
      <c r="E234" t="s">
        <v>33</v>
      </c>
      <c r="F234" s="2" t="s">
        <v>39</v>
      </c>
      <c r="G234" t="str">
        <f t="shared" si="23"/>
        <v>Freedom Musk Santal 34-USA</v>
      </c>
      <c r="H234">
        <f t="shared" si="24"/>
        <v>1360</v>
      </c>
      <c r="I234">
        <f>VLOOKUP(G234,Table4[[SKU-COUNTRY2]:[Price in USD]],2,FALSE)</f>
        <v>105</v>
      </c>
      <c r="J234">
        <f>VLOOKUP(G234,Sheet3!$C$82:$I$100,MATCH(E234,Sheet3!C$82:H$82,0),FALSE) * VLOOKUP(C234,Table8[],2,0)</f>
        <v>142800</v>
      </c>
      <c r="K234">
        <f>ROUND(J234*VLOOKUP(F234,Sheet3!$A$106:$C$111,2,FALSE),0)</f>
        <v>45696</v>
      </c>
      <c r="L234">
        <f t="shared" si="21"/>
        <v>97104</v>
      </c>
      <c r="M234">
        <f t="shared" si="22"/>
        <v>68</v>
      </c>
      <c r="N234" t="str">
        <f t="shared" si="25"/>
        <v>No</v>
      </c>
      <c r="O234">
        <f t="shared" si="26"/>
        <v>0</v>
      </c>
      <c r="P234" t="str">
        <f t="shared" si="27"/>
        <v>None</v>
      </c>
      <c r="Q234" t="s">
        <v>124</v>
      </c>
    </row>
    <row r="235" spans="1:17" x14ac:dyDescent="0.3">
      <c r="A235">
        <v>234</v>
      </c>
      <c r="B235" t="s">
        <v>18</v>
      </c>
      <c r="C235" s="1">
        <v>45748</v>
      </c>
      <c r="D235" t="s">
        <v>28</v>
      </c>
      <c r="E235" t="s">
        <v>33</v>
      </c>
      <c r="F235" s="2" t="s">
        <v>40</v>
      </c>
      <c r="G235" t="str">
        <f t="shared" si="23"/>
        <v>Musk 12-USA</v>
      </c>
      <c r="H235">
        <f t="shared" si="24"/>
        <v>680</v>
      </c>
      <c r="I235">
        <f>VLOOKUP(G235,Table4[[SKU-COUNTRY2]:[Price in USD]],2,FALSE)</f>
        <v>105</v>
      </c>
      <c r="J235">
        <f>VLOOKUP(G235,Sheet3!$C$82:$I$100,MATCH(E235,Sheet3!C$82:H$82,0),FALSE) * VLOOKUP(C235,Table8[],2,0)</f>
        <v>71400</v>
      </c>
      <c r="K235">
        <f>ROUND(J235*VLOOKUP(F235,Sheet3!$A$106:$C$111,2,FALSE),0)</f>
        <v>21420</v>
      </c>
      <c r="L235">
        <f t="shared" si="21"/>
        <v>49980</v>
      </c>
      <c r="M235">
        <f t="shared" si="22"/>
        <v>70</v>
      </c>
      <c r="N235" t="str">
        <f t="shared" si="25"/>
        <v>No</v>
      </c>
      <c r="O235">
        <f t="shared" si="26"/>
        <v>0</v>
      </c>
      <c r="P235" t="str">
        <f t="shared" si="27"/>
        <v>None</v>
      </c>
      <c r="Q235" t="s">
        <v>124</v>
      </c>
    </row>
    <row r="236" spans="1:17" x14ac:dyDescent="0.3">
      <c r="A236">
        <v>235</v>
      </c>
      <c r="B236" t="s">
        <v>18</v>
      </c>
      <c r="C236" s="1">
        <v>45748</v>
      </c>
      <c r="D236" t="s">
        <v>28</v>
      </c>
      <c r="E236" t="s">
        <v>34</v>
      </c>
      <c r="F236" s="2" t="s">
        <v>35</v>
      </c>
      <c r="G236" t="str">
        <f t="shared" si="23"/>
        <v>Vanilla 28-USA</v>
      </c>
      <c r="H236">
        <f t="shared" si="24"/>
        <v>3173</v>
      </c>
      <c r="I236">
        <f>VLOOKUP(G236,Table4[[SKU-COUNTRY2]:[Price in USD]],2,FALSE)</f>
        <v>105</v>
      </c>
      <c r="J236">
        <f>VLOOKUP(G236,Sheet3!$C$82:$I$100,MATCH(E236,Sheet3!C$82:H$82,0),FALSE) * VLOOKUP(C236,Table8[],2,0)</f>
        <v>333200</v>
      </c>
      <c r="K236">
        <f>ROUND(J236*VLOOKUP(F236,Sheet3!$A$106:$C$111,2,FALSE),0)</f>
        <v>99960</v>
      </c>
      <c r="L236">
        <f t="shared" si="21"/>
        <v>233240</v>
      </c>
      <c r="M236">
        <f t="shared" si="22"/>
        <v>70</v>
      </c>
      <c r="N236" t="str">
        <f t="shared" si="25"/>
        <v>No</v>
      </c>
      <c r="O236">
        <f t="shared" si="26"/>
        <v>0</v>
      </c>
      <c r="P236" t="str">
        <f t="shared" si="27"/>
        <v>None</v>
      </c>
      <c r="Q236" t="s">
        <v>124</v>
      </c>
    </row>
    <row r="237" spans="1:17" x14ac:dyDescent="0.3">
      <c r="A237">
        <v>236</v>
      </c>
      <c r="B237" t="s">
        <v>18</v>
      </c>
      <c r="C237" s="1">
        <v>45748</v>
      </c>
      <c r="D237" t="s">
        <v>28</v>
      </c>
      <c r="E237" t="s">
        <v>34</v>
      </c>
      <c r="F237" s="2" t="s">
        <v>36</v>
      </c>
      <c r="G237" t="str">
        <f t="shared" si="23"/>
        <v>Eden Juicy Apple 01-USA</v>
      </c>
      <c r="H237">
        <f t="shared" si="24"/>
        <v>1813</v>
      </c>
      <c r="I237">
        <f>VLOOKUP(G237,Table4[[SKU-COUNTRY2]:[Price in USD]],2,FALSE)</f>
        <v>105</v>
      </c>
      <c r="J237">
        <f>VLOOKUP(G237,Sheet3!$C$82:$I$100,MATCH(E237,Sheet3!C$82:H$82,0),FALSE) * VLOOKUP(C237,Table8[],2,0)</f>
        <v>190400</v>
      </c>
      <c r="K237">
        <f>ROUND(J237*VLOOKUP(F237,Sheet3!$A$106:$C$111,2,FALSE),0)</f>
        <v>59024</v>
      </c>
      <c r="L237">
        <f t="shared" si="21"/>
        <v>131376</v>
      </c>
      <c r="M237">
        <f t="shared" si="22"/>
        <v>69</v>
      </c>
      <c r="N237" t="str">
        <f t="shared" si="25"/>
        <v>No</v>
      </c>
      <c r="O237">
        <f t="shared" si="26"/>
        <v>0</v>
      </c>
      <c r="P237" t="str">
        <f t="shared" si="27"/>
        <v>None</v>
      </c>
      <c r="Q237" t="s">
        <v>124</v>
      </c>
    </row>
    <row r="238" spans="1:17" x14ac:dyDescent="0.3">
      <c r="A238">
        <v>237</v>
      </c>
      <c r="B238" t="s">
        <v>18</v>
      </c>
      <c r="C238" s="1">
        <v>45748</v>
      </c>
      <c r="D238" t="s">
        <v>28</v>
      </c>
      <c r="E238" t="s">
        <v>34</v>
      </c>
      <c r="F238" s="2" t="s">
        <v>37</v>
      </c>
      <c r="G238" t="str">
        <f t="shared" si="23"/>
        <v>Oudgasm Tobacco Oud 04-USA</v>
      </c>
      <c r="H238">
        <f t="shared" si="24"/>
        <v>1224</v>
      </c>
      <c r="I238">
        <f>VLOOKUP(G238,Table4[[SKU-COUNTRY2]:[Price in USD]],2,FALSE)</f>
        <v>140</v>
      </c>
      <c r="J238">
        <f>VLOOKUP(G238,Sheet3!$C$82:$I$100,MATCH(E238,Sheet3!C$82:H$82,0),FALSE) * VLOOKUP(C238,Table8[],2,0)</f>
        <v>171360</v>
      </c>
      <c r="K238">
        <f>ROUND(J238*VLOOKUP(F238,Sheet3!$A$106:$C$111,2,FALSE),0)</f>
        <v>59976</v>
      </c>
      <c r="L238">
        <f t="shared" si="21"/>
        <v>111384</v>
      </c>
      <c r="M238">
        <f t="shared" si="22"/>
        <v>65</v>
      </c>
      <c r="N238" t="str">
        <f t="shared" si="25"/>
        <v>No</v>
      </c>
      <c r="O238">
        <f t="shared" si="26"/>
        <v>0</v>
      </c>
      <c r="P238" t="str">
        <f t="shared" si="27"/>
        <v>None</v>
      </c>
      <c r="Q238" t="s">
        <v>124</v>
      </c>
    </row>
    <row r="239" spans="1:17" x14ac:dyDescent="0.3">
      <c r="A239">
        <v>238</v>
      </c>
      <c r="B239" t="s">
        <v>18</v>
      </c>
      <c r="C239" s="1">
        <v>45748</v>
      </c>
      <c r="D239" t="s">
        <v>28</v>
      </c>
      <c r="E239" t="s">
        <v>34</v>
      </c>
      <c r="F239" s="2" t="s">
        <v>38</v>
      </c>
      <c r="G239" t="str">
        <f t="shared" si="23"/>
        <v>Yum Pistachio Gelato 33-USA</v>
      </c>
      <c r="H239">
        <f t="shared" si="24"/>
        <v>1088</v>
      </c>
      <c r="I239">
        <f>VLOOKUP(G239,Table4[[SKU-COUNTRY2]:[Price in USD]],2,FALSE)</f>
        <v>105</v>
      </c>
      <c r="J239">
        <f>VLOOKUP(G239,Sheet3!$C$82:$I$100,MATCH(E239,Sheet3!C$82:H$82,0),FALSE) * VLOOKUP(C239,Table8[],2,0)</f>
        <v>114240</v>
      </c>
      <c r="K239">
        <f>ROUND(J239*VLOOKUP(F239,Sheet3!$A$106:$C$111,2,FALSE),0)</f>
        <v>35414</v>
      </c>
      <c r="L239">
        <f t="shared" si="21"/>
        <v>78826</v>
      </c>
      <c r="M239">
        <f t="shared" si="22"/>
        <v>69</v>
      </c>
      <c r="N239" t="str">
        <f t="shared" si="25"/>
        <v>No</v>
      </c>
      <c r="O239">
        <f t="shared" si="26"/>
        <v>0</v>
      </c>
      <c r="P239" t="str">
        <f t="shared" si="27"/>
        <v>None</v>
      </c>
      <c r="Q239" t="s">
        <v>124</v>
      </c>
    </row>
    <row r="240" spans="1:17" x14ac:dyDescent="0.3">
      <c r="A240">
        <v>239</v>
      </c>
      <c r="B240" t="s">
        <v>18</v>
      </c>
      <c r="C240" s="1">
        <v>45748</v>
      </c>
      <c r="D240" t="s">
        <v>28</v>
      </c>
      <c r="E240" t="s">
        <v>34</v>
      </c>
      <c r="F240" s="2" t="s">
        <v>39</v>
      </c>
      <c r="G240" t="str">
        <f t="shared" si="23"/>
        <v>Freedom Musk Santal 34-USA</v>
      </c>
      <c r="H240">
        <f t="shared" si="24"/>
        <v>907</v>
      </c>
      <c r="I240">
        <f>VLOOKUP(G240,Table4[[SKU-COUNTRY2]:[Price in USD]],2,FALSE)</f>
        <v>105</v>
      </c>
      <c r="J240">
        <f>VLOOKUP(G240,Sheet3!$C$82:$I$100,MATCH(E240,Sheet3!C$82:H$82,0),FALSE) * VLOOKUP(C240,Table8[],2,0)</f>
        <v>95200</v>
      </c>
      <c r="K240">
        <f>ROUND(J240*VLOOKUP(F240,Sheet3!$A$106:$C$111,2,FALSE),0)</f>
        <v>30464</v>
      </c>
      <c r="L240">
        <f t="shared" si="21"/>
        <v>64736</v>
      </c>
      <c r="M240">
        <f t="shared" si="22"/>
        <v>68</v>
      </c>
      <c r="N240" t="str">
        <f t="shared" si="25"/>
        <v>No</v>
      </c>
      <c r="O240">
        <f t="shared" si="26"/>
        <v>0</v>
      </c>
      <c r="P240" t="str">
        <f t="shared" si="27"/>
        <v>None</v>
      </c>
      <c r="Q240" t="s">
        <v>124</v>
      </c>
    </row>
    <row r="241" spans="1:17" x14ac:dyDescent="0.3">
      <c r="A241">
        <v>240</v>
      </c>
      <c r="B241" t="s">
        <v>18</v>
      </c>
      <c r="C241" s="1">
        <v>45748</v>
      </c>
      <c r="D241" t="s">
        <v>28</v>
      </c>
      <c r="E241" t="s">
        <v>34</v>
      </c>
      <c r="F241" s="2" t="s">
        <v>40</v>
      </c>
      <c r="G241" t="str">
        <f t="shared" si="23"/>
        <v>Musk 12-USA</v>
      </c>
      <c r="H241">
        <f t="shared" si="24"/>
        <v>453</v>
      </c>
      <c r="I241">
        <f>VLOOKUP(G241,Table4[[SKU-COUNTRY2]:[Price in USD]],2,FALSE)</f>
        <v>105</v>
      </c>
      <c r="J241">
        <f>VLOOKUP(G241,Sheet3!$C$82:$I$100,MATCH(E241,Sheet3!C$82:H$82,0),FALSE) * VLOOKUP(C241,Table8[],2,0)</f>
        <v>47600</v>
      </c>
      <c r="K241">
        <f>ROUND(J241*VLOOKUP(F241,Sheet3!$A$106:$C$111,2,FALSE),0)</f>
        <v>14280</v>
      </c>
      <c r="L241">
        <f t="shared" si="21"/>
        <v>33320</v>
      </c>
      <c r="M241">
        <f t="shared" si="22"/>
        <v>70</v>
      </c>
      <c r="N241" t="str">
        <f t="shared" si="25"/>
        <v>No</v>
      </c>
      <c r="O241">
        <f t="shared" si="26"/>
        <v>0</v>
      </c>
      <c r="P241" t="str">
        <f t="shared" si="27"/>
        <v>None</v>
      </c>
      <c r="Q241" t="s">
        <v>124</v>
      </c>
    </row>
    <row r="242" spans="1:17" x14ac:dyDescent="0.3">
      <c r="A242">
        <v>241</v>
      </c>
      <c r="B242" t="s">
        <v>18</v>
      </c>
      <c r="C242" s="1">
        <v>45748</v>
      </c>
      <c r="D242" t="s">
        <v>27</v>
      </c>
      <c r="E242" t="s">
        <v>32</v>
      </c>
      <c r="F242" s="2" t="s">
        <v>35</v>
      </c>
      <c r="G242" t="str">
        <f t="shared" si="23"/>
        <v>Vanilla 28-UK</v>
      </c>
      <c r="H242">
        <f t="shared" si="24"/>
        <v>2008</v>
      </c>
      <c r="I242">
        <f>VLOOKUP(G242,Table4[[SKU-COUNTRY2]:[Price in USD]],2,FALSE)</f>
        <v>101.6</v>
      </c>
      <c r="J242">
        <f>VLOOKUP(G242,Sheet3!$C$82:$I$100,MATCH(E242,Sheet3!C$82:H$82,0),FALSE) * VLOOKUP(C242,Table8[],2,0)</f>
        <v>204000</v>
      </c>
      <c r="K242">
        <f>ROUND(J242*VLOOKUP(F242,Sheet3!$A$106:$C$111,2,FALSE),0)</f>
        <v>61200</v>
      </c>
      <c r="L242">
        <f t="shared" si="21"/>
        <v>142800</v>
      </c>
      <c r="M242">
        <f t="shared" si="22"/>
        <v>70</v>
      </c>
      <c r="N242" t="str">
        <f t="shared" si="25"/>
        <v>No</v>
      </c>
      <c r="O242">
        <f t="shared" si="26"/>
        <v>0</v>
      </c>
      <c r="P242" t="str">
        <f t="shared" si="27"/>
        <v>None</v>
      </c>
      <c r="Q242" t="s">
        <v>124</v>
      </c>
    </row>
    <row r="243" spans="1:17" x14ac:dyDescent="0.3">
      <c r="A243">
        <v>242</v>
      </c>
      <c r="B243" t="s">
        <v>18</v>
      </c>
      <c r="C243" s="1">
        <v>45748</v>
      </c>
      <c r="D243" t="s">
        <v>27</v>
      </c>
      <c r="E243" t="s">
        <v>32</v>
      </c>
      <c r="F243" s="2" t="s">
        <v>36</v>
      </c>
      <c r="G243" t="str">
        <f t="shared" si="23"/>
        <v>Eden Juicy Apple 01-UK</v>
      </c>
      <c r="H243">
        <f t="shared" si="24"/>
        <v>1472</v>
      </c>
      <c r="I243">
        <f>VLOOKUP(G243,Table4[[SKU-COUNTRY2]:[Price in USD]],2,FALSE)</f>
        <v>101.6</v>
      </c>
      <c r="J243">
        <f>VLOOKUP(G243,Sheet3!$C$82:$I$100,MATCH(E243,Sheet3!C$82:H$82,0),FALSE) * VLOOKUP(C243,Table8[],2,0)</f>
        <v>149600</v>
      </c>
      <c r="K243">
        <f>ROUND(J243*VLOOKUP(F243,Sheet3!$A$106:$C$111,2,FALSE),0)</f>
        <v>46376</v>
      </c>
      <c r="L243">
        <f t="shared" si="21"/>
        <v>103224</v>
      </c>
      <c r="M243">
        <f t="shared" si="22"/>
        <v>69</v>
      </c>
      <c r="N243" t="str">
        <f t="shared" si="25"/>
        <v>No</v>
      </c>
      <c r="O243">
        <f t="shared" si="26"/>
        <v>0</v>
      </c>
      <c r="P243" t="str">
        <f t="shared" si="27"/>
        <v>None</v>
      </c>
      <c r="Q243" t="s">
        <v>124</v>
      </c>
    </row>
    <row r="244" spans="1:17" x14ac:dyDescent="0.3">
      <c r="A244">
        <v>243</v>
      </c>
      <c r="B244" t="s">
        <v>18</v>
      </c>
      <c r="C244" s="1">
        <v>45748</v>
      </c>
      <c r="D244" t="s">
        <v>27</v>
      </c>
      <c r="E244" t="s">
        <v>32</v>
      </c>
      <c r="F244" s="2" t="s">
        <v>37</v>
      </c>
      <c r="G244" t="str">
        <f t="shared" si="23"/>
        <v>Oudgasm Tobacco Oud 04-UK</v>
      </c>
      <c r="H244">
        <f t="shared" si="24"/>
        <v>810</v>
      </c>
      <c r="I244">
        <f>VLOOKUP(G244,Table4[[SKU-COUNTRY2]:[Price in USD]],2,FALSE)</f>
        <v>151.13</v>
      </c>
      <c r="J244">
        <f>VLOOKUP(G244,Sheet3!$C$82:$I$100,MATCH(E244,Sheet3!C$82:H$82,0),FALSE) * VLOOKUP(C244,Table8[],2,0)</f>
        <v>122400</v>
      </c>
      <c r="K244">
        <f>ROUND(J244*VLOOKUP(F244,Sheet3!$A$106:$C$111,2,FALSE),0)</f>
        <v>42840</v>
      </c>
      <c r="L244">
        <f t="shared" si="21"/>
        <v>79560</v>
      </c>
      <c r="M244">
        <f t="shared" si="22"/>
        <v>65</v>
      </c>
      <c r="N244" t="str">
        <f t="shared" si="25"/>
        <v>No</v>
      </c>
      <c r="O244">
        <f t="shared" si="26"/>
        <v>0</v>
      </c>
      <c r="P244" t="str">
        <f t="shared" si="27"/>
        <v>None</v>
      </c>
      <c r="Q244" t="s">
        <v>124</v>
      </c>
    </row>
    <row r="245" spans="1:17" x14ac:dyDescent="0.3">
      <c r="A245">
        <v>244</v>
      </c>
      <c r="B245" t="s">
        <v>18</v>
      </c>
      <c r="C245" s="1">
        <v>45748</v>
      </c>
      <c r="D245" t="s">
        <v>27</v>
      </c>
      <c r="E245" t="s">
        <v>32</v>
      </c>
      <c r="F245" s="2" t="s">
        <v>38</v>
      </c>
      <c r="G245" t="str">
        <f t="shared" si="23"/>
        <v>Yum Pistachio Gelato 33-UK</v>
      </c>
      <c r="H245">
        <f t="shared" si="24"/>
        <v>870</v>
      </c>
      <c r="I245">
        <f>VLOOKUP(G245,Table4[[SKU-COUNTRY2]:[Price in USD]],2,FALSE)</f>
        <v>101.6</v>
      </c>
      <c r="J245">
        <f>VLOOKUP(G245,Sheet3!$C$82:$I$100,MATCH(E245,Sheet3!C$82:H$82,0),FALSE) * VLOOKUP(C245,Table8[],2,0)</f>
        <v>88400</v>
      </c>
      <c r="K245">
        <f>ROUND(J245*VLOOKUP(F245,Sheet3!$A$106:$C$111,2,FALSE),0)</f>
        <v>27404</v>
      </c>
      <c r="L245">
        <f t="shared" si="21"/>
        <v>60996</v>
      </c>
      <c r="M245">
        <f t="shared" si="22"/>
        <v>69</v>
      </c>
      <c r="N245" t="str">
        <f t="shared" si="25"/>
        <v>No</v>
      </c>
      <c r="O245">
        <f t="shared" si="26"/>
        <v>0</v>
      </c>
      <c r="P245" t="str">
        <f t="shared" si="27"/>
        <v>None</v>
      </c>
      <c r="Q245" t="s">
        <v>124</v>
      </c>
    </row>
    <row r="246" spans="1:17" x14ac:dyDescent="0.3">
      <c r="A246">
        <v>245</v>
      </c>
      <c r="B246" t="s">
        <v>18</v>
      </c>
      <c r="C246" s="1">
        <v>45748</v>
      </c>
      <c r="D246" t="s">
        <v>27</v>
      </c>
      <c r="E246" t="s">
        <v>32</v>
      </c>
      <c r="F246" s="2" t="s">
        <v>39</v>
      </c>
      <c r="G246" t="str">
        <f t="shared" si="23"/>
        <v>Freedom Musk Santal 34-UK</v>
      </c>
      <c r="H246">
        <f t="shared" si="24"/>
        <v>669</v>
      </c>
      <c r="I246">
        <f>VLOOKUP(G246,Table4[[SKU-COUNTRY2]:[Price in USD]],2,FALSE)</f>
        <v>101.6</v>
      </c>
      <c r="J246">
        <f>VLOOKUP(G246,Sheet3!$C$82:$I$100,MATCH(E246,Sheet3!C$82:H$82,0),FALSE) * VLOOKUP(C246,Table8[],2,0)</f>
        <v>68000</v>
      </c>
      <c r="K246">
        <f>ROUND(J246*VLOOKUP(F246,Sheet3!$A$106:$C$111,2,FALSE),0)</f>
        <v>21760</v>
      </c>
      <c r="L246">
        <f t="shared" si="21"/>
        <v>46240</v>
      </c>
      <c r="M246">
        <f t="shared" si="22"/>
        <v>68</v>
      </c>
      <c r="N246" t="str">
        <f t="shared" si="25"/>
        <v>No</v>
      </c>
      <c r="O246">
        <f t="shared" si="26"/>
        <v>0</v>
      </c>
      <c r="P246" t="str">
        <f t="shared" si="27"/>
        <v>None</v>
      </c>
      <c r="Q246" t="s">
        <v>124</v>
      </c>
    </row>
    <row r="247" spans="1:17" x14ac:dyDescent="0.3">
      <c r="A247">
        <v>246</v>
      </c>
      <c r="B247" t="s">
        <v>18</v>
      </c>
      <c r="C247" s="1">
        <v>45748</v>
      </c>
      <c r="D247" t="s">
        <v>27</v>
      </c>
      <c r="E247" t="s">
        <v>32</v>
      </c>
      <c r="F247" s="2" t="s">
        <v>40</v>
      </c>
      <c r="G247" t="str">
        <f t="shared" si="23"/>
        <v>Musk 12-UK</v>
      </c>
      <c r="H247">
        <f t="shared" si="24"/>
        <v>469</v>
      </c>
      <c r="I247">
        <f>VLOOKUP(G247,Table4[[SKU-COUNTRY2]:[Price in USD]],2,FALSE)</f>
        <v>101.6</v>
      </c>
      <c r="J247">
        <f>VLOOKUP(G247,Sheet3!$C$82:$I$100,MATCH(E247,Sheet3!C$82:H$82,0),FALSE) * VLOOKUP(C247,Table8[],2,0)</f>
        <v>47600.000000000007</v>
      </c>
      <c r="K247">
        <f>ROUND(J247*VLOOKUP(F247,Sheet3!$A$106:$C$111,2,FALSE),0)</f>
        <v>14280</v>
      </c>
      <c r="L247">
        <f t="shared" si="21"/>
        <v>33320.000000000007</v>
      </c>
      <c r="M247">
        <f t="shared" si="22"/>
        <v>70</v>
      </c>
      <c r="N247" t="str">
        <f t="shared" si="25"/>
        <v>No</v>
      </c>
      <c r="O247">
        <f t="shared" si="26"/>
        <v>0</v>
      </c>
      <c r="P247" t="str">
        <f t="shared" si="27"/>
        <v>None</v>
      </c>
      <c r="Q247" t="s">
        <v>124</v>
      </c>
    </row>
    <row r="248" spans="1:17" x14ac:dyDescent="0.3">
      <c r="A248">
        <v>247</v>
      </c>
      <c r="B248" t="s">
        <v>18</v>
      </c>
      <c r="C248" s="1">
        <v>45748</v>
      </c>
      <c r="D248" t="s">
        <v>27</v>
      </c>
      <c r="E248" t="s">
        <v>31</v>
      </c>
      <c r="F248" s="2" t="s">
        <v>35</v>
      </c>
      <c r="G248" t="str">
        <f t="shared" si="23"/>
        <v>Vanilla 28-UK</v>
      </c>
      <c r="H248">
        <f t="shared" si="24"/>
        <v>1004</v>
      </c>
      <c r="I248">
        <f>VLOOKUP(G248,Table4[[SKU-COUNTRY2]:[Price in USD]],2,FALSE)</f>
        <v>101.6</v>
      </c>
      <c r="J248">
        <f>VLOOKUP(G248,Sheet3!$C$82:$I$100,MATCH(E248,Sheet3!C$82:H$82,0),FALSE) * VLOOKUP(C248,Table8[],2,0)</f>
        <v>102000</v>
      </c>
      <c r="K248">
        <f>ROUND(J248*VLOOKUP(F248,Sheet3!$A$106:$C$111,2,FALSE),0)</f>
        <v>30600</v>
      </c>
      <c r="L248">
        <f t="shared" si="21"/>
        <v>71400</v>
      </c>
      <c r="M248">
        <f t="shared" si="22"/>
        <v>70</v>
      </c>
      <c r="N248" t="str">
        <f t="shared" si="25"/>
        <v>No</v>
      </c>
      <c r="O248">
        <f t="shared" si="26"/>
        <v>0</v>
      </c>
      <c r="P248" t="str">
        <f t="shared" si="27"/>
        <v>None</v>
      </c>
      <c r="Q248" t="s">
        <v>124</v>
      </c>
    </row>
    <row r="249" spans="1:17" x14ac:dyDescent="0.3">
      <c r="A249">
        <v>248</v>
      </c>
      <c r="B249" t="s">
        <v>18</v>
      </c>
      <c r="C249" s="1">
        <v>45748</v>
      </c>
      <c r="D249" t="s">
        <v>27</v>
      </c>
      <c r="E249" t="s">
        <v>31</v>
      </c>
      <c r="F249" s="2" t="s">
        <v>36</v>
      </c>
      <c r="G249" t="str">
        <f t="shared" si="23"/>
        <v>Eden Juicy Apple 01-UK</v>
      </c>
      <c r="H249">
        <f t="shared" si="24"/>
        <v>736</v>
      </c>
      <c r="I249">
        <f>VLOOKUP(G249,Table4[[SKU-COUNTRY2]:[Price in USD]],2,FALSE)</f>
        <v>101.6</v>
      </c>
      <c r="J249">
        <f>VLOOKUP(G249,Sheet3!$C$82:$I$100,MATCH(E249,Sheet3!C$82:H$82,0),FALSE) * VLOOKUP(C249,Table8[],2,0)</f>
        <v>74800</v>
      </c>
      <c r="K249">
        <f>ROUND(J249*VLOOKUP(F249,Sheet3!$A$106:$C$111,2,FALSE),0)</f>
        <v>23188</v>
      </c>
      <c r="L249">
        <f t="shared" si="21"/>
        <v>51612</v>
      </c>
      <c r="M249">
        <f t="shared" si="22"/>
        <v>69</v>
      </c>
      <c r="N249" t="str">
        <f t="shared" si="25"/>
        <v>No</v>
      </c>
      <c r="O249">
        <f t="shared" si="26"/>
        <v>0</v>
      </c>
      <c r="P249" t="str">
        <f t="shared" si="27"/>
        <v>None</v>
      </c>
      <c r="Q249" t="s">
        <v>124</v>
      </c>
    </row>
    <row r="250" spans="1:17" x14ac:dyDescent="0.3">
      <c r="A250">
        <v>249</v>
      </c>
      <c r="B250" t="s">
        <v>18</v>
      </c>
      <c r="C250" s="1">
        <v>45748</v>
      </c>
      <c r="D250" t="s">
        <v>27</v>
      </c>
      <c r="E250" t="s">
        <v>31</v>
      </c>
      <c r="F250" s="2" t="s">
        <v>37</v>
      </c>
      <c r="G250" t="str">
        <f t="shared" si="23"/>
        <v>Oudgasm Tobacco Oud 04-UK</v>
      </c>
      <c r="H250">
        <f t="shared" si="24"/>
        <v>405</v>
      </c>
      <c r="I250">
        <f>VLOOKUP(G250,Table4[[SKU-COUNTRY2]:[Price in USD]],2,FALSE)</f>
        <v>151.13</v>
      </c>
      <c r="J250">
        <f>VLOOKUP(G250,Sheet3!$C$82:$I$100,MATCH(E250,Sheet3!C$82:H$82,0),FALSE) * VLOOKUP(C250,Table8[],2,0)</f>
        <v>61200</v>
      </c>
      <c r="K250">
        <f>ROUND(J250*VLOOKUP(F250,Sheet3!$A$106:$C$111,2,FALSE),0)</f>
        <v>21420</v>
      </c>
      <c r="L250">
        <f t="shared" si="21"/>
        <v>39780</v>
      </c>
      <c r="M250">
        <f t="shared" si="22"/>
        <v>65</v>
      </c>
      <c r="N250" t="str">
        <f t="shared" si="25"/>
        <v>No</v>
      </c>
      <c r="O250">
        <f t="shared" si="26"/>
        <v>0</v>
      </c>
      <c r="P250" t="str">
        <f t="shared" si="27"/>
        <v>None</v>
      </c>
      <c r="Q250" t="s">
        <v>124</v>
      </c>
    </row>
    <row r="251" spans="1:17" x14ac:dyDescent="0.3">
      <c r="A251">
        <v>250</v>
      </c>
      <c r="B251" t="s">
        <v>18</v>
      </c>
      <c r="C251" s="1">
        <v>45748</v>
      </c>
      <c r="D251" t="s">
        <v>27</v>
      </c>
      <c r="E251" t="s">
        <v>31</v>
      </c>
      <c r="F251" s="2" t="s">
        <v>38</v>
      </c>
      <c r="G251" t="str">
        <f t="shared" si="23"/>
        <v>Yum Pistachio Gelato 33-UK</v>
      </c>
      <c r="H251">
        <f t="shared" si="24"/>
        <v>435</v>
      </c>
      <c r="I251">
        <f>VLOOKUP(G251,Table4[[SKU-COUNTRY2]:[Price in USD]],2,FALSE)</f>
        <v>101.6</v>
      </c>
      <c r="J251">
        <f>VLOOKUP(G251,Sheet3!$C$82:$I$100,MATCH(E251,Sheet3!C$82:H$82,0),FALSE) * VLOOKUP(C251,Table8[],2,0)</f>
        <v>44200</v>
      </c>
      <c r="K251">
        <f>ROUND(J251*VLOOKUP(F251,Sheet3!$A$106:$C$111,2,FALSE),0)</f>
        <v>13702</v>
      </c>
      <c r="L251">
        <f t="shared" si="21"/>
        <v>30498</v>
      </c>
      <c r="M251">
        <f t="shared" si="22"/>
        <v>69</v>
      </c>
      <c r="N251" t="str">
        <f t="shared" si="25"/>
        <v>No</v>
      </c>
      <c r="O251">
        <f t="shared" si="26"/>
        <v>0</v>
      </c>
      <c r="P251" t="str">
        <f t="shared" si="27"/>
        <v>None</v>
      </c>
      <c r="Q251" t="s">
        <v>124</v>
      </c>
    </row>
    <row r="252" spans="1:17" x14ac:dyDescent="0.3">
      <c r="A252">
        <v>251</v>
      </c>
      <c r="B252" t="s">
        <v>18</v>
      </c>
      <c r="C252" s="1">
        <v>45748</v>
      </c>
      <c r="D252" t="s">
        <v>27</v>
      </c>
      <c r="E252" t="s">
        <v>31</v>
      </c>
      <c r="F252" s="2" t="s">
        <v>39</v>
      </c>
      <c r="G252" t="str">
        <f t="shared" si="23"/>
        <v>Freedom Musk Santal 34-UK</v>
      </c>
      <c r="H252">
        <f t="shared" si="24"/>
        <v>335</v>
      </c>
      <c r="I252">
        <f>VLOOKUP(G252,Table4[[SKU-COUNTRY2]:[Price in USD]],2,FALSE)</f>
        <v>101.6</v>
      </c>
      <c r="J252">
        <f>VLOOKUP(G252,Sheet3!$C$82:$I$100,MATCH(E252,Sheet3!C$82:H$82,0),FALSE) * VLOOKUP(C252,Table8[],2,0)</f>
        <v>34000</v>
      </c>
      <c r="K252">
        <f>ROUND(J252*VLOOKUP(F252,Sheet3!$A$106:$C$111,2,FALSE),0)</f>
        <v>10880</v>
      </c>
      <c r="L252">
        <f t="shared" si="21"/>
        <v>23120</v>
      </c>
      <c r="M252">
        <f t="shared" si="22"/>
        <v>68</v>
      </c>
      <c r="N252" t="str">
        <f t="shared" si="25"/>
        <v>No</v>
      </c>
      <c r="O252">
        <f t="shared" si="26"/>
        <v>0</v>
      </c>
      <c r="P252" t="str">
        <f t="shared" si="27"/>
        <v>None</v>
      </c>
      <c r="Q252" t="s">
        <v>124</v>
      </c>
    </row>
    <row r="253" spans="1:17" x14ac:dyDescent="0.3">
      <c r="A253">
        <v>252</v>
      </c>
      <c r="B253" t="s">
        <v>18</v>
      </c>
      <c r="C253" s="1">
        <v>45748</v>
      </c>
      <c r="D253" t="s">
        <v>27</v>
      </c>
      <c r="E253" t="s">
        <v>31</v>
      </c>
      <c r="F253" s="2" t="s">
        <v>40</v>
      </c>
      <c r="G253" t="str">
        <f t="shared" si="23"/>
        <v>Musk 12-UK</v>
      </c>
      <c r="H253">
        <f t="shared" si="24"/>
        <v>234</v>
      </c>
      <c r="I253">
        <f>VLOOKUP(G253,Table4[[SKU-COUNTRY2]:[Price in USD]],2,FALSE)</f>
        <v>101.6</v>
      </c>
      <c r="J253">
        <f>VLOOKUP(G253,Sheet3!$C$82:$I$100,MATCH(E253,Sheet3!C$82:H$82,0),FALSE) * VLOOKUP(C253,Table8[],2,0)</f>
        <v>23800.000000000004</v>
      </c>
      <c r="K253">
        <f>ROUND(J253*VLOOKUP(F253,Sheet3!$A$106:$C$111,2,FALSE),0)</f>
        <v>7140</v>
      </c>
      <c r="L253">
        <f t="shared" si="21"/>
        <v>16660.000000000004</v>
      </c>
      <c r="M253">
        <f t="shared" si="22"/>
        <v>70</v>
      </c>
      <c r="N253" t="str">
        <f t="shared" si="25"/>
        <v>No</v>
      </c>
      <c r="O253">
        <f t="shared" si="26"/>
        <v>0</v>
      </c>
      <c r="P253" t="str">
        <f t="shared" si="27"/>
        <v>None</v>
      </c>
      <c r="Q253" t="s">
        <v>124</v>
      </c>
    </row>
    <row r="254" spans="1:17" x14ac:dyDescent="0.3">
      <c r="A254">
        <v>253</v>
      </c>
      <c r="B254" t="s">
        <v>18</v>
      </c>
      <c r="C254" s="1">
        <v>45748</v>
      </c>
      <c r="D254" t="s">
        <v>27</v>
      </c>
      <c r="E254" t="s">
        <v>33</v>
      </c>
      <c r="F254" s="2" t="s">
        <v>35</v>
      </c>
      <c r="G254" t="str">
        <f t="shared" si="23"/>
        <v>Vanilla 28-UK</v>
      </c>
      <c r="H254">
        <f t="shared" si="24"/>
        <v>753</v>
      </c>
      <c r="I254">
        <f>VLOOKUP(G254,Table4[[SKU-COUNTRY2]:[Price in USD]],2,FALSE)</f>
        <v>101.6</v>
      </c>
      <c r="J254">
        <f>VLOOKUP(G254,Sheet3!$C$82:$I$100,MATCH(E254,Sheet3!C$82:H$82,0),FALSE) * VLOOKUP(C254,Table8[],2,0)</f>
        <v>76500</v>
      </c>
      <c r="K254">
        <f>ROUND(J254*VLOOKUP(F254,Sheet3!$A$106:$C$111,2,FALSE),0)</f>
        <v>22950</v>
      </c>
      <c r="L254">
        <f t="shared" si="21"/>
        <v>53550</v>
      </c>
      <c r="M254">
        <f t="shared" si="22"/>
        <v>70</v>
      </c>
      <c r="N254" t="str">
        <f t="shared" si="25"/>
        <v>No</v>
      </c>
      <c r="O254">
        <f t="shared" si="26"/>
        <v>0</v>
      </c>
      <c r="P254" t="str">
        <f t="shared" si="27"/>
        <v>None</v>
      </c>
      <c r="Q254" t="s">
        <v>124</v>
      </c>
    </row>
    <row r="255" spans="1:17" x14ac:dyDescent="0.3">
      <c r="A255">
        <v>254</v>
      </c>
      <c r="B255" t="s">
        <v>18</v>
      </c>
      <c r="C255" s="1">
        <v>45748</v>
      </c>
      <c r="D255" t="s">
        <v>27</v>
      </c>
      <c r="E255" t="s">
        <v>33</v>
      </c>
      <c r="F255" s="2" t="s">
        <v>36</v>
      </c>
      <c r="G255" t="str">
        <f t="shared" si="23"/>
        <v>Eden Juicy Apple 01-UK</v>
      </c>
      <c r="H255">
        <f t="shared" si="24"/>
        <v>552</v>
      </c>
      <c r="I255">
        <f>VLOOKUP(G255,Table4[[SKU-COUNTRY2]:[Price in USD]],2,FALSE)</f>
        <v>101.6</v>
      </c>
      <c r="J255">
        <f>VLOOKUP(G255,Sheet3!$C$82:$I$100,MATCH(E255,Sheet3!C$82:H$82,0),FALSE) * VLOOKUP(C255,Table8[],2,0)</f>
        <v>56100</v>
      </c>
      <c r="K255">
        <f>ROUND(J255*VLOOKUP(F255,Sheet3!$A$106:$C$111,2,FALSE),0)</f>
        <v>17391</v>
      </c>
      <c r="L255">
        <f t="shared" si="21"/>
        <v>38709</v>
      </c>
      <c r="M255">
        <f t="shared" si="22"/>
        <v>69</v>
      </c>
      <c r="N255" t="str">
        <f t="shared" si="25"/>
        <v>No</v>
      </c>
      <c r="O255">
        <f t="shared" si="26"/>
        <v>0</v>
      </c>
      <c r="P255" t="str">
        <f t="shared" si="27"/>
        <v>None</v>
      </c>
      <c r="Q255" t="s">
        <v>124</v>
      </c>
    </row>
    <row r="256" spans="1:17" x14ac:dyDescent="0.3">
      <c r="A256">
        <v>255</v>
      </c>
      <c r="B256" t="s">
        <v>18</v>
      </c>
      <c r="C256" s="1">
        <v>45748</v>
      </c>
      <c r="D256" t="s">
        <v>27</v>
      </c>
      <c r="E256" t="s">
        <v>33</v>
      </c>
      <c r="F256" s="2" t="s">
        <v>37</v>
      </c>
      <c r="G256" t="str">
        <f t="shared" si="23"/>
        <v>Oudgasm Tobacco Oud 04-UK</v>
      </c>
      <c r="H256">
        <f t="shared" si="24"/>
        <v>304</v>
      </c>
      <c r="I256">
        <f>VLOOKUP(G256,Table4[[SKU-COUNTRY2]:[Price in USD]],2,FALSE)</f>
        <v>151.13</v>
      </c>
      <c r="J256">
        <f>VLOOKUP(G256,Sheet3!$C$82:$I$100,MATCH(E256,Sheet3!C$82:H$82,0),FALSE) * VLOOKUP(C256,Table8[],2,0)</f>
        <v>45900</v>
      </c>
      <c r="K256">
        <f>ROUND(J256*VLOOKUP(F256,Sheet3!$A$106:$C$111,2,FALSE),0)</f>
        <v>16065</v>
      </c>
      <c r="L256">
        <f t="shared" si="21"/>
        <v>29835</v>
      </c>
      <c r="M256">
        <f t="shared" si="22"/>
        <v>65</v>
      </c>
      <c r="N256" t="str">
        <f t="shared" si="25"/>
        <v>No</v>
      </c>
      <c r="O256">
        <f t="shared" si="26"/>
        <v>0</v>
      </c>
      <c r="P256" t="str">
        <f t="shared" si="27"/>
        <v>None</v>
      </c>
      <c r="Q256" t="s">
        <v>124</v>
      </c>
    </row>
    <row r="257" spans="1:17" x14ac:dyDescent="0.3">
      <c r="A257">
        <v>256</v>
      </c>
      <c r="B257" t="s">
        <v>18</v>
      </c>
      <c r="C257" s="1">
        <v>45748</v>
      </c>
      <c r="D257" t="s">
        <v>27</v>
      </c>
      <c r="E257" t="s">
        <v>33</v>
      </c>
      <c r="F257" s="2" t="s">
        <v>38</v>
      </c>
      <c r="G257" t="str">
        <f t="shared" si="23"/>
        <v>Yum Pistachio Gelato 33-UK</v>
      </c>
      <c r="H257">
        <f t="shared" si="24"/>
        <v>326</v>
      </c>
      <c r="I257">
        <f>VLOOKUP(G257,Table4[[SKU-COUNTRY2]:[Price in USD]],2,FALSE)</f>
        <v>101.6</v>
      </c>
      <c r="J257">
        <f>VLOOKUP(G257,Sheet3!$C$82:$I$100,MATCH(E257,Sheet3!C$82:H$82,0),FALSE) * VLOOKUP(C257,Table8[],2,0)</f>
        <v>33150</v>
      </c>
      <c r="K257">
        <f>ROUND(J257*VLOOKUP(F257,Sheet3!$A$106:$C$111,2,FALSE),0)</f>
        <v>10277</v>
      </c>
      <c r="L257">
        <f t="shared" si="21"/>
        <v>22873</v>
      </c>
      <c r="M257">
        <f t="shared" si="22"/>
        <v>69</v>
      </c>
      <c r="N257" t="str">
        <f t="shared" si="25"/>
        <v>No</v>
      </c>
      <c r="O257">
        <f t="shared" si="26"/>
        <v>0</v>
      </c>
      <c r="P257" t="str">
        <f t="shared" si="27"/>
        <v>None</v>
      </c>
      <c r="Q257" t="s">
        <v>124</v>
      </c>
    </row>
    <row r="258" spans="1:17" x14ac:dyDescent="0.3">
      <c r="A258">
        <v>257</v>
      </c>
      <c r="B258" t="s">
        <v>18</v>
      </c>
      <c r="C258" s="1">
        <v>45748</v>
      </c>
      <c r="D258" t="s">
        <v>27</v>
      </c>
      <c r="E258" t="s">
        <v>33</v>
      </c>
      <c r="F258" s="2" t="s">
        <v>39</v>
      </c>
      <c r="G258" t="str">
        <f t="shared" si="23"/>
        <v>Freedom Musk Santal 34-UK</v>
      </c>
      <c r="H258">
        <f t="shared" si="24"/>
        <v>251</v>
      </c>
      <c r="I258">
        <f>VLOOKUP(G258,Table4[[SKU-COUNTRY2]:[Price in USD]],2,FALSE)</f>
        <v>101.6</v>
      </c>
      <c r="J258">
        <f>VLOOKUP(G258,Sheet3!$C$82:$I$100,MATCH(E258,Sheet3!C$82:H$82,0),FALSE) * VLOOKUP(C258,Table8[],2,0)</f>
        <v>25500</v>
      </c>
      <c r="K258">
        <f>ROUND(J258*VLOOKUP(F258,Sheet3!$A$106:$C$111,2,FALSE),0)</f>
        <v>8160</v>
      </c>
      <c r="L258">
        <f t="shared" ref="L258:L321" si="28">J258-K258</f>
        <v>17340</v>
      </c>
      <c r="M258">
        <f t="shared" ref="M258:M321" si="29">ROUND(L258/J258*100, 1)</f>
        <v>68</v>
      </c>
      <c r="N258" t="str">
        <f t="shared" si="25"/>
        <v>No</v>
      </c>
      <c r="O258">
        <f t="shared" si="26"/>
        <v>0</v>
      </c>
      <c r="P258" t="str">
        <f t="shared" si="27"/>
        <v>None</v>
      </c>
      <c r="Q258" t="s">
        <v>124</v>
      </c>
    </row>
    <row r="259" spans="1:17" x14ac:dyDescent="0.3">
      <c r="A259">
        <v>258</v>
      </c>
      <c r="B259" t="s">
        <v>18</v>
      </c>
      <c r="C259" s="1">
        <v>45748</v>
      </c>
      <c r="D259" t="s">
        <v>27</v>
      </c>
      <c r="E259" t="s">
        <v>33</v>
      </c>
      <c r="F259" s="2" t="s">
        <v>40</v>
      </c>
      <c r="G259" t="str">
        <f t="shared" ref="G259:G322" si="30">_xlfn.CONCAT(F259,"-",D259,)</f>
        <v>Musk 12-UK</v>
      </c>
      <c r="H259">
        <f t="shared" ref="H259:H322" si="31">ROUND(J259/I259,0)</f>
        <v>176</v>
      </c>
      <c r="I259">
        <f>VLOOKUP(G259,Table4[[SKU-COUNTRY2]:[Price in USD]],2,FALSE)</f>
        <v>101.6</v>
      </c>
      <c r="J259">
        <f>VLOOKUP(G259,Sheet3!$C$82:$I$100,MATCH(E259,Sheet3!C$82:H$82,0),FALSE) * VLOOKUP(C259,Table8[],2,0)</f>
        <v>17850.000000000004</v>
      </c>
      <c r="K259">
        <f>ROUND(J259*VLOOKUP(F259,Sheet3!$A$106:$C$111,2,FALSE),0)</f>
        <v>5355</v>
      </c>
      <c r="L259">
        <f t="shared" si="28"/>
        <v>12495.000000000004</v>
      </c>
      <c r="M259">
        <f t="shared" si="29"/>
        <v>70</v>
      </c>
      <c r="N259" t="str">
        <f t="shared" ref="N259:N322" si="32">IF(OR(
    MONTH(C259)=2,
    AND(MONTH(C259)=3, D259="UAE"),
    AND(MONTH(C259)=6, D259="UAE"),
    AND(MONTH(C259)=7, OR(D259="USA", D259="UK")),
    MONTH(C259)=9,
    AND(MONTH(C259)=11, OR(D259="USA", D259="UK"))
), "Yes", "No")</f>
        <v>No</v>
      </c>
      <c r="O259">
        <f t="shared" ref="O259:O322" si="33">IF(MONTH(C259)=2, 15,
IF(AND(MONTH(C259)=3, D259="UAE"), 20,
IF(AND(MONTH(C259)=6, D259="UAE"), 15,
IF(AND(MONTH(C259)=7, OR(D259="USA", D259="UK")), 20,
IF(AND(MONTH(C259)=11, OR(D259="USA", D259="UK")), 25,
0)))))</f>
        <v>0</v>
      </c>
      <c r="P259" t="str">
        <f t="shared" ref="P259:P322" si="34">IF(MONTH(C259)=2, "Valentine's Day",
IF(AND(MONTH(C259)=3, D259="UAE"), "Eid Al Fitr",
IF(AND(MONTH(C259)=6, D259="UAE"), "Eid Al Adha",
IF(AND(MONTH(C259)=7, OR(D259="USA", D259="UK")), "Summer Sale",
IF(MONTH(C259)=9, "Freedom Launch",
IF(AND(MONTH(C259)=11, OR(D259="USA", D259="UK")), "Black Friday",
"None"))))))</f>
        <v>None</v>
      </c>
      <c r="Q259" t="s">
        <v>124</v>
      </c>
    </row>
    <row r="260" spans="1:17" x14ac:dyDescent="0.3">
      <c r="A260">
        <v>259</v>
      </c>
      <c r="B260" t="s">
        <v>18</v>
      </c>
      <c r="C260" s="1">
        <v>45748</v>
      </c>
      <c r="D260" t="s">
        <v>27</v>
      </c>
      <c r="E260" t="s">
        <v>34</v>
      </c>
      <c r="F260" s="2" t="s">
        <v>35</v>
      </c>
      <c r="G260" t="str">
        <f t="shared" si="30"/>
        <v>Vanilla 28-UK</v>
      </c>
      <c r="H260">
        <f t="shared" si="31"/>
        <v>1255</v>
      </c>
      <c r="I260">
        <f>VLOOKUP(G260,Table4[[SKU-COUNTRY2]:[Price in USD]],2,FALSE)</f>
        <v>101.6</v>
      </c>
      <c r="J260">
        <f>VLOOKUP(G260,Sheet3!$C$82:$I$100,MATCH(E260,Sheet3!C$82:H$82,0),FALSE) * VLOOKUP(C260,Table8[],2,0)</f>
        <v>127500</v>
      </c>
      <c r="K260">
        <f>ROUND(J260*VLOOKUP(F260,Sheet3!$A$106:$C$111,2,FALSE),0)</f>
        <v>38250</v>
      </c>
      <c r="L260">
        <f t="shared" si="28"/>
        <v>89250</v>
      </c>
      <c r="M260">
        <f t="shared" si="29"/>
        <v>70</v>
      </c>
      <c r="N260" t="str">
        <f t="shared" si="32"/>
        <v>No</v>
      </c>
      <c r="O260">
        <f t="shared" si="33"/>
        <v>0</v>
      </c>
      <c r="P260" t="str">
        <f t="shared" si="34"/>
        <v>None</v>
      </c>
      <c r="Q260" t="s">
        <v>124</v>
      </c>
    </row>
    <row r="261" spans="1:17" x14ac:dyDescent="0.3">
      <c r="A261">
        <v>260</v>
      </c>
      <c r="B261" t="s">
        <v>18</v>
      </c>
      <c r="C261" s="1">
        <v>45748</v>
      </c>
      <c r="D261" t="s">
        <v>27</v>
      </c>
      <c r="E261" t="s">
        <v>34</v>
      </c>
      <c r="F261" s="2" t="s">
        <v>36</v>
      </c>
      <c r="G261" t="str">
        <f t="shared" si="30"/>
        <v>Eden Juicy Apple 01-UK</v>
      </c>
      <c r="H261">
        <f t="shared" si="31"/>
        <v>920</v>
      </c>
      <c r="I261">
        <f>VLOOKUP(G261,Table4[[SKU-COUNTRY2]:[Price in USD]],2,FALSE)</f>
        <v>101.6</v>
      </c>
      <c r="J261">
        <f>VLOOKUP(G261,Sheet3!$C$82:$I$100,MATCH(E261,Sheet3!C$82:H$82,0),FALSE) * VLOOKUP(C261,Table8[],2,0)</f>
        <v>93500</v>
      </c>
      <c r="K261">
        <f>ROUND(J261*VLOOKUP(F261,Sheet3!$A$106:$C$111,2,FALSE),0)</f>
        <v>28985</v>
      </c>
      <c r="L261">
        <f t="shared" si="28"/>
        <v>64515</v>
      </c>
      <c r="M261">
        <f t="shared" si="29"/>
        <v>69</v>
      </c>
      <c r="N261" t="str">
        <f t="shared" si="32"/>
        <v>No</v>
      </c>
      <c r="O261">
        <f t="shared" si="33"/>
        <v>0</v>
      </c>
      <c r="P261" t="str">
        <f t="shared" si="34"/>
        <v>None</v>
      </c>
      <c r="Q261" t="s">
        <v>124</v>
      </c>
    </row>
    <row r="262" spans="1:17" x14ac:dyDescent="0.3">
      <c r="A262">
        <v>261</v>
      </c>
      <c r="B262" t="s">
        <v>18</v>
      </c>
      <c r="C262" s="1">
        <v>45748</v>
      </c>
      <c r="D262" t="s">
        <v>27</v>
      </c>
      <c r="E262" t="s">
        <v>34</v>
      </c>
      <c r="F262" s="2" t="s">
        <v>37</v>
      </c>
      <c r="G262" t="str">
        <f t="shared" si="30"/>
        <v>Oudgasm Tobacco Oud 04-UK</v>
      </c>
      <c r="H262">
        <f t="shared" si="31"/>
        <v>506</v>
      </c>
      <c r="I262">
        <f>VLOOKUP(G262,Table4[[SKU-COUNTRY2]:[Price in USD]],2,FALSE)</f>
        <v>151.13</v>
      </c>
      <c r="J262">
        <f>VLOOKUP(G262,Sheet3!$C$82:$I$100,MATCH(E262,Sheet3!C$82:H$82,0),FALSE) * VLOOKUP(C262,Table8[],2,0)</f>
        <v>76500</v>
      </c>
      <c r="K262">
        <f>ROUND(J262*VLOOKUP(F262,Sheet3!$A$106:$C$111,2,FALSE),0)</f>
        <v>26775</v>
      </c>
      <c r="L262">
        <f t="shared" si="28"/>
        <v>49725</v>
      </c>
      <c r="M262">
        <f t="shared" si="29"/>
        <v>65</v>
      </c>
      <c r="N262" t="str">
        <f t="shared" si="32"/>
        <v>No</v>
      </c>
      <c r="O262">
        <f t="shared" si="33"/>
        <v>0</v>
      </c>
      <c r="P262" t="str">
        <f t="shared" si="34"/>
        <v>None</v>
      </c>
      <c r="Q262" t="s">
        <v>124</v>
      </c>
    </row>
    <row r="263" spans="1:17" x14ac:dyDescent="0.3">
      <c r="A263">
        <v>262</v>
      </c>
      <c r="B263" t="s">
        <v>18</v>
      </c>
      <c r="C263" s="1">
        <v>45748</v>
      </c>
      <c r="D263" t="s">
        <v>27</v>
      </c>
      <c r="E263" t="s">
        <v>34</v>
      </c>
      <c r="F263" s="2" t="s">
        <v>38</v>
      </c>
      <c r="G263" t="str">
        <f t="shared" si="30"/>
        <v>Yum Pistachio Gelato 33-UK</v>
      </c>
      <c r="H263">
        <f t="shared" si="31"/>
        <v>544</v>
      </c>
      <c r="I263">
        <f>VLOOKUP(G263,Table4[[SKU-COUNTRY2]:[Price in USD]],2,FALSE)</f>
        <v>101.6</v>
      </c>
      <c r="J263">
        <f>VLOOKUP(G263,Sheet3!$C$82:$I$100,MATCH(E263,Sheet3!C$82:H$82,0),FALSE) * VLOOKUP(C263,Table8[],2,0)</f>
        <v>55250</v>
      </c>
      <c r="K263">
        <f>ROUND(J263*VLOOKUP(F263,Sheet3!$A$106:$C$111,2,FALSE),0)</f>
        <v>17128</v>
      </c>
      <c r="L263">
        <f t="shared" si="28"/>
        <v>38122</v>
      </c>
      <c r="M263">
        <f t="shared" si="29"/>
        <v>69</v>
      </c>
      <c r="N263" t="str">
        <f t="shared" si="32"/>
        <v>No</v>
      </c>
      <c r="O263">
        <f t="shared" si="33"/>
        <v>0</v>
      </c>
      <c r="P263" t="str">
        <f t="shared" si="34"/>
        <v>None</v>
      </c>
      <c r="Q263" t="s">
        <v>124</v>
      </c>
    </row>
    <row r="264" spans="1:17" x14ac:dyDescent="0.3">
      <c r="A264">
        <v>263</v>
      </c>
      <c r="B264" t="s">
        <v>18</v>
      </c>
      <c r="C264" s="1">
        <v>45748</v>
      </c>
      <c r="D264" t="s">
        <v>27</v>
      </c>
      <c r="E264" t="s">
        <v>34</v>
      </c>
      <c r="F264" s="2" t="s">
        <v>39</v>
      </c>
      <c r="G264" t="str">
        <f t="shared" si="30"/>
        <v>Freedom Musk Santal 34-UK</v>
      </c>
      <c r="H264">
        <f t="shared" si="31"/>
        <v>418</v>
      </c>
      <c r="I264">
        <f>VLOOKUP(G264,Table4[[SKU-COUNTRY2]:[Price in USD]],2,FALSE)</f>
        <v>101.6</v>
      </c>
      <c r="J264">
        <f>VLOOKUP(G264,Sheet3!$C$82:$I$100,MATCH(E264,Sheet3!C$82:H$82,0),FALSE) * VLOOKUP(C264,Table8[],2,0)</f>
        <v>42500</v>
      </c>
      <c r="K264">
        <f>ROUND(J264*VLOOKUP(F264,Sheet3!$A$106:$C$111,2,FALSE),0)</f>
        <v>13600</v>
      </c>
      <c r="L264">
        <f t="shared" si="28"/>
        <v>28900</v>
      </c>
      <c r="M264">
        <f t="shared" si="29"/>
        <v>68</v>
      </c>
      <c r="N264" t="str">
        <f t="shared" si="32"/>
        <v>No</v>
      </c>
      <c r="O264">
        <f t="shared" si="33"/>
        <v>0</v>
      </c>
      <c r="P264" t="str">
        <f t="shared" si="34"/>
        <v>None</v>
      </c>
      <c r="Q264" t="s">
        <v>124</v>
      </c>
    </row>
    <row r="265" spans="1:17" x14ac:dyDescent="0.3">
      <c r="A265">
        <v>264</v>
      </c>
      <c r="B265" t="s">
        <v>18</v>
      </c>
      <c r="C265" s="1">
        <v>45748</v>
      </c>
      <c r="D265" t="s">
        <v>27</v>
      </c>
      <c r="E265" t="s">
        <v>34</v>
      </c>
      <c r="F265" s="2" t="s">
        <v>40</v>
      </c>
      <c r="G265" t="str">
        <f t="shared" si="30"/>
        <v>Musk 12-UK</v>
      </c>
      <c r="H265">
        <f t="shared" si="31"/>
        <v>293</v>
      </c>
      <c r="I265">
        <f>VLOOKUP(G265,Table4[[SKU-COUNTRY2]:[Price in USD]],2,FALSE)</f>
        <v>101.6</v>
      </c>
      <c r="J265">
        <f>VLOOKUP(G265,Sheet3!$C$82:$I$100,MATCH(E265,Sheet3!C$82:H$82,0),FALSE) * VLOOKUP(C265,Table8[],2,0)</f>
        <v>29750</v>
      </c>
      <c r="K265">
        <f>ROUND(J265*VLOOKUP(F265,Sheet3!$A$106:$C$111,2,FALSE),0)</f>
        <v>8925</v>
      </c>
      <c r="L265">
        <f t="shared" si="28"/>
        <v>20825</v>
      </c>
      <c r="M265">
        <f t="shared" si="29"/>
        <v>70</v>
      </c>
      <c r="N265" t="str">
        <f t="shared" si="32"/>
        <v>No</v>
      </c>
      <c r="O265">
        <f t="shared" si="33"/>
        <v>0</v>
      </c>
      <c r="P265" t="str">
        <f t="shared" si="34"/>
        <v>None</v>
      </c>
      <c r="Q265" t="s">
        <v>124</v>
      </c>
    </row>
    <row r="266" spans="1:17" x14ac:dyDescent="0.3">
      <c r="A266">
        <v>265</v>
      </c>
      <c r="B266" t="s">
        <v>18</v>
      </c>
      <c r="C266" s="1">
        <v>45748</v>
      </c>
      <c r="D266" t="s">
        <v>29</v>
      </c>
      <c r="E266" t="s">
        <v>32</v>
      </c>
      <c r="F266" s="2" t="s">
        <v>35</v>
      </c>
      <c r="G266" t="str">
        <f t="shared" si="30"/>
        <v>Vanilla 28-UAE</v>
      </c>
      <c r="H266">
        <f t="shared" si="31"/>
        <v>1687</v>
      </c>
      <c r="I266">
        <f>VLOOKUP(G266,Table4[[SKU-COUNTRY2]:[Price in USD]],2,FALSE)</f>
        <v>113.4</v>
      </c>
      <c r="J266">
        <f>VLOOKUP(G266,Sheet3!$C$82:$I$100,MATCH(E266,Sheet3!C$82:H$82,0),FALSE) * VLOOKUP(C266,Table8[],2,0)</f>
        <v>191250</v>
      </c>
      <c r="K266">
        <f>ROUND(J266*VLOOKUP(F266,Sheet3!$A$106:$C$111,2,FALSE),0)</f>
        <v>57375</v>
      </c>
      <c r="L266">
        <f t="shared" si="28"/>
        <v>133875</v>
      </c>
      <c r="M266">
        <f t="shared" si="29"/>
        <v>70</v>
      </c>
      <c r="N266" t="str">
        <f t="shared" si="32"/>
        <v>No</v>
      </c>
      <c r="O266">
        <f t="shared" si="33"/>
        <v>0</v>
      </c>
      <c r="P266" t="str">
        <f t="shared" si="34"/>
        <v>None</v>
      </c>
      <c r="Q266" t="s">
        <v>124</v>
      </c>
    </row>
    <row r="267" spans="1:17" x14ac:dyDescent="0.3">
      <c r="A267">
        <v>266</v>
      </c>
      <c r="B267" t="s">
        <v>18</v>
      </c>
      <c r="C267" s="1">
        <v>45748</v>
      </c>
      <c r="D267" t="s">
        <v>29</v>
      </c>
      <c r="E267" t="s">
        <v>32</v>
      </c>
      <c r="F267" s="2" t="s">
        <v>36</v>
      </c>
      <c r="G267" t="str">
        <f t="shared" si="30"/>
        <v>Eden Juicy Apple 01-UAE</v>
      </c>
      <c r="H267">
        <f t="shared" si="31"/>
        <v>1265</v>
      </c>
      <c r="I267">
        <f>VLOOKUP(G267,Table4[[SKU-COUNTRY2]:[Price in USD]],2,FALSE)</f>
        <v>113.4</v>
      </c>
      <c r="J267">
        <f>VLOOKUP(G267,Sheet3!$C$82:$I$100,MATCH(E267,Sheet3!C$82:H$82,0),FALSE) * VLOOKUP(C267,Table8[],2,0)</f>
        <v>143437.5</v>
      </c>
      <c r="K267">
        <f>ROUND(J267*VLOOKUP(F267,Sheet3!$A$106:$C$111,2,FALSE),0)</f>
        <v>44466</v>
      </c>
      <c r="L267">
        <f t="shared" si="28"/>
        <v>98971.5</v>
      </c>
      <c r="M267">
        <f t="shared" si="29"/>
        <v>69</v>
      </c>
      <c r="N267" t="str">
        <f t="shared" si="32"/>
        <v>No</v>
      </c>
      <c r="O267">
        <f t="shared" si="33"/>
        <v>0</v>
      </c>
      <c r="P267" t="str">
        <f t="shared" si="34"/>
        <v>None</v>
      </c>
      <c r="Q267" t="s">
        <v>124</v>
      </c>
    </row>
    <row r="268" spans="1:17" x14ac:dyDescent="0.3">
      <c r="A268">
        <v>267</v>
      </c>
      <c r="B268" t="s">
        <v>18</v>
      </c>
      <c r="C268" s="1">
        <v>45748</v>
      </c>
      <c r="D268" t="s">
        <v>29</v>
      </c>
      <c r="E268" t="s">
        <v>32</v>
      </c>
      <c r="F268" s="2" t="s">
        <v>37</v>
      </c>
      <c r="G268" t="str">
        <f t="shared" si="30"/>
        <v>Oudgasm Tobacco Oud 04-UAE</v>
      </c>
      <c r="H268">
        <f t="shared" si="31"/>
        <v>2250</v>
      </c>
      <c r="I268">
        <f>VLOOKUP(G268,Table4[[SKU-COUNTRY2]:[Price in USD]],2,FALSE)</f>
        <v>148.77000000000001</v>
      </c>
      <c r="J268">
        <f>VLOOKUP(G268,Sheet3!$C$82:$I$100,MATCH(E268,Sheet3!C$82:H$82,0),FALSE) * VLOOKUP(C268,Table8[],2,0)</f>
        <v>334687.5</v>
      </c>
      <c r="K268">
        <f>ROUND(J268*VLOOKUP(F268,Sheet3!$A$106:$C$111,2,FALSE),0)</f>
        <v>117141</v>
      </c>
      <c r="L268">
        <f t="shared" si="28"/>
        <v>217546.5</v>
      </c>
      <c r="M268">
        <f t="shared" si="29"/>
        <v>65</v>
      </c>
      <c r="N268" t="str">
        <f t="shared" si="32"/>
        <v>No</v>
      </c>
      <c r="O268">
        <f t="shared" si="33"/>
        <v>0</v>
      </c>
      <c r="P268" t="str">
        <f t="shared" si="34"/>
        <v>None</v>
      </c>
      <c r="Q268" t="s">
        <v>124</v>
      </c>
    </row>
    <row r="269" spans="1:17" x14ac:dyDescent="0.3">
      <c r="A269">
        <v>268</v>
      </c>
      <c r="B269" t="s">
        <v>18</v>
      </c>
      <c r="C269" s="1">
        <v>45748</v>
      </c>
      <c r="D269" t="s">
        <v>29</v>
      </c>
      <c r="E269" t="s">
        <v>32</v>
      </c>
      <c r="F269" s="2" t="s">
        <v>38</v>
      </c>
      <c r="G269" t="str">
        <f t="shared" si="30"/>
        <v>Yum Pistachio Gelato 33-UAE</v>
      </c>
      <c r="H269">
        <f t="shared" si="31"/>
        <v>1012</v>
      </c>
      <c r="I269">
        <f>VLOOKUP(G269,Table4[[SKU-COUNTRY2]:[Price in USD]],2,FALSE)</f>
        <v>113.4</v>
      </c>
      <c r="J269">
        <f>VLOOKUP(G269,Sheet3!$C$82:$I$100,MATCH(E269,Sheet3!C$82:H$82,0),FALSE) * VLOOKUP(C269,Table8[],2,0)</f>
        <v>114750</v>
      </c>
      <c r="K269">
        <f>ROUND(J269*VLOOKUP(F269,Sheet3!$A$106:$C$111,2,FALSE),0)</f>
        <v>35573</v>
      </c>
      <c r="L269">
        <f t="shared" si="28"/>
        <v>79177</v>
      </c>
      <c r="M269">
        <f t="shared" si="29"/>
        <v>69</v>
      </c>
      <c r="N269" t="str">
        <f t="shared" si="32"/>
        <v>No</v>
      </c>
      <c r="O269">
        <f t="shared" si="33"/>
        <v>0</v>
      </c>
      <c r="P269" t="str">
        <f t="shared" si="34"/>
        <v>None</v>
      </c>
      <c r="Q269" t="s">
        <v>124</v>
      </c>
    </row>
    <row r="270" spans="1:17" x14ac:dyDescent="0.3">
      <c r="A270">
        <v>269</v>
      </c>
      <c r="B270" t="s">
        <v>18</v>
      </c>
      <c r="C270" s="1">
        <v>45748</v>
      </c>
      <c r="D270" t="s">
        <v>29</v>
      </c>
      <c r="E270" t="s">
        <v>32</v>
      </c>
      <c r="F270" s="2" t="s">
        <v>39</v>
      </c>
      <c r="G270" t="str">
        <f t="shared" si="30"/>
        <v>Freedom Musk Santal 34-UAE</v>
      </c>
      <c r="H270">
        <f t="shared" si="31"/>
        <v>843</v>
      </c>
      <c r="I270">
        <f>VLOOKUP(G270,Table4[[SKU-COUNTRY2]:[Price in USD]],2,FALSE)</f>
        <v>113.4</v>
      </c>
      <c r="J270">
        <f>VLOOKUP(G270,Sheet3!$C$82:$I$100,MATCH(E270,Sheet3!C$82:H$82,0),FALSE) * VLOOKUP(C270,Table8[],2,0)</f>
        <v>95625</v>
      </c>
      <c r="K270">
        <f>ROUND(J270*VLOOKUP(F270,Sheet3!$A$106:$C$111,2,FALSE),0)</f>
        <v>30600</v>
      </c>
      <c r="L270">
        <f t="shared" si="28"/>
        <v>65025</v>
      </c>
      <c r="M270">
        <f t="shared" si="29"/>
        <v>68</v>
      </c>
      <c r="N270" t="str">
        <f t="shared" si="32"/>
        <v>No</v>
      </c>
      <c r="O270">
        <f t="shared" si="33"/>
        <v>0</v>
      </c>
      <c r="P270" t="str">
        <f t="shared" si="34"/>
        <v>None</v>
      </c>
      <c r="Q270" t="s">
        <v>124</v>
      </c>
    </row>
    <row r="271" spans="1:17" x14ac:dyDescent="0.3">
      <c r="A271">
        <v>270</v>
      </c>
      <c r="B271" t="s">
        <v>18</v>
      </c>
      <c r="C271" s="1">
        <v>45748</v>
      </c>
      <c r="D271" t="s">
        <v>29</v>
      </c>
      <c r="E271" t="s">
        <v>32</v>
      </c>
      <c r="F271" s="2" t="s">
        <v>40</v>
      </c>
      <c r="G271" t="str">
        <f t="shared" si="30"/>
        <v>Musk 12-UAE</v>
      </c>
      <c r="H271">
        <f t="shared" si="31"/>
        <v>675</v>
      </c>
      <c r="I271">
        <f>VLOOKUP(G271,Table4[[SKU-COUNTRY2]:[Price in USD]],2,FALSE)</f>
        <v>113.4</v>
      </c>
      <c r="J271">
        <f>VLOOKUP(G271,Sheet3!$C$82:$I$100,MATCH(E271,Sheet3!C$82:H$82,0),FALSE) * VLOOKUP(C271,Table8[],2,0)</f>
        <v>76500</v>
      </c>
      <c r="K271">
        <f>ROUND(J271*VLOOKUP(F271,Sheet3!$A$106:$C$111,2,FALSE),0)</f>
        <v>22950</v>
      </c>
      <c r="L271">
        <f t="shared" si="28"/>
        <v>53550</v>
      </c>
      <c r="M271">
        <f t="shared" si="29"/>
        <v>70</v>
      </c>
      <c r="N271" t="str">
        <f t="shared" si="32"/>
        <v>No</v>
      </c>
      <c r="O271">
        <f t="shared" si="33"/>
        <v>0</v>
      </c>
      <c r="P271" t="str">
        <f t="shared" si="34"/>
        <v>None</v>
      </c>
      <c r="Q271" t="s">
        <v>124</v>
      </c>
    </row>
    <row r="272" spans="1:17" x14ac:dyDescent="0.3">
      <c r="A272">
        <v>271</v>
      </c>
      <c r="B272" t="s">
        <v>18</v>
      </c>
      <c r="C272" s="1">
        <v>45748</v>
      </c>
      <c r="D272" t="s">
        <v>29</v>
      </c>
      <c r="E272" t="s">
        <v>31</v>
      </c>
      <c r="F272" s="2" t="s">
        <v>35</v>
      </c>
      <c r="G272" t="str">
        <f t="shared" si="30"/>
        <v>Vanilla 28-UAE</v>
      </c>
      <c r="H272">
        <f t="shared" si="31"/>
        <v>937</v>
      </c>
      <c r="I272">
        <f>VLOOKUP(G272,Table4[[SKU-COUNTRY2]:[Price in USD]],2,FALSE)</f>
        <v>113.4</v>
      </c>
      <c r="J272">
        <f>VLOOKUP(G272,Sheet3!$C$82:$I$100,MATCH(E272,Sheet3!C$82:H$82,0),FALSE) * VLOOKUP(C272,Table8[],2,0)</f>
        <v>106250</v>
      </c>
      <c r="K272">
        <f>ROUND(J272*VLOOKUP(F272,Sheet3!$A$106:$C$111,2,FALSE),0)</f>
        <v>31875</v>
      </c>
      <c r="L272">
        <f t="shared" si="28"/>
        <v>74375</v>
      </c>
      <c r="M272">
        <f t="shared" si="29"/>
        <v>70</v>
      </c>
      <c r="N272" t="str">
        <f t="shared" si="32"/>
        <v>No</v>
      </c>
      <c r="O272">
        <f t="shared" si="33"/>
        <v>0</v>
      </c>
      <c r="P272" t="str">
        <f t="shared" si="34"/>
        <v>None</v>
      </c>
      <c r="Q272" t="s">
        <v>124</v>
      </c>
    </row>
    <row r="273" spans="1:17" x14ac:dyDescent="0.3">
      <c r="A273">
        <v>272</v>
      </c>
      <c r="B273" t="s">
        <v>18</v>
      </c>
      <c r="C273" s="1">
        <v>45748</v>
      </c>
      <c r="D273" t="s">
        <v>29</v>
      </c>
      <c r="E273" t="s">
        <v>31</v>
      </c>
      <c r="F273" s="2" t="s">
        <v>36</v>
      </c>
      <c r="G273" t="str">
        <f t="shared" si="30"/>
        <v>Eden Juicy Apple 01-UAE</v>
      </c>
      <c r="H273">
        <f t="shared" si="31"/>
        <v>703</v>
      </c>
      <c r="I273">
        <f>VLOOKUP(G273,Table4[[SKU-COUNTRY2]:[Price in USD]],2,FALSE)</f>
        <v>113.4</v>
      </c>
      <c r="J273">
        <f>VLOOKUP(G273,Sheet3!$C$82:$I$100,MATCH(E273,Sheet3!C$82:H$82,0),FALSE) * VLOOKUP(C273,Table8[],2,0)</f>
        <v>79687.5</v>
      </c>
      <c r="K273">
        <f>ROUND(J273*VLOOKUP(F273,Sheet3!$A$106:$C$111,2,FALSE),0)</f>
        <v>24703</v>
      </c>
      <c r="L273">
        <f t="shared" si="28"/>
        <v>54984.5</v>
      </c>
      <c r="M273">
        <f t="shared" si="29"/>
        <v>69</v>
      </c>
      <c r="N273" t="str">
        <f t="shared" si="32"/>
        <v>No</v>
      </c>
      <c r="O273">
        <f t="shared" si="33"/>
        <v>0</v>
      </c>
      <c r="P273" t="str">
        <f t="shared" si="34"/>
        <v>None</v>
      </c>
      <c r="Q273" t="s">
        <v>124</v>
      </c>
    </row>
    <row r="274" spans="1:17" x14ac:dyDescent="0.3">
      <c r="A274">
        <v>273</v>
      </c>
      <c r="B274" t="s">
        <v>18</v>
      </c>
      <c r="C274" s="1">
        <v>45748</v>
      </c>
      <c r="D274" t="s">
        <v>29</v>
      </c>
      <c r="E274" t="s">
        <v>31</v>
      </c>
      <c r="F274" s="2" t="s">
        <v>37</v>
      </c>
      <c r="G274" t="str">
        <f t="shared" si="30"/>
        <v>Oudgasm Tobacco Oud 04-UAE</v>
      </c>
      <c r="H274">
        <f t="shared" si="31"/>
        <v>1250</v>
      </c>
      <c r="I274">
        <f>VLOOKUP(G274,Table4[[SKU-COUNTRY2]:[Price in USD]],2,FALSE)</f>
        <v>148.77000000000001</v>
      </c>
      <c r="J274">
        <f>VLOOKUP(G274,Sheet3!$C$82:$I$100,MATCH(E274,Sheet3!C$82:H$82,0),FALSE) * VLOOKUP(C274,Table8[],2,0)</f>
        <v>185937.5</v>
      </c>
      <c r="K274">
        <f>ROUND(J274*VLOOKUP(F274,Sheet3!$A$106:$C$111,2,FALSE),0)</f>
        <v>65078</v>
      </c>
      <c r="L274">
        <f t="shared" si="28"/>
        <v>120859.5</v>
      </c>
      <c r="M274">
        <f t="shared" si="29"/>
        <v>65</v>
      </c>
      <c r="N274" t="str">
        <f t="shared" si="32"/>
        <v>No</v>
      </c>
      <c r="O274">
        <f t="shared" si="33"/>
        <v>0</v>
      </c>
      <c r="P274" t="str">
        <f t="shared" si="34"/>
        <v>None</v>
      </c>
      <c r="Q274" t="s">
        <v>124</v>
      </c>
    </row>
    <row r="275" spans="1:17" x14ac:dyDescent="0.3">
      <c r="A275">
        <v>274</v>
      </c>
      <c r="B275" t="s">
        <v>18</v>
      </c>
      <c r="C275" s="1">
        <v>45748</v>
      </c>
      <c r="D275" t="s">
        <v>29</v>
      </c>
      <c r="E275" t="s">
        <v>31</v>
      </c>
      <c r="F275" s="2" t="s">
        <v>38</v>
      </c>
      <c r="G275" t="str">
        <f t="shared" si="30"/>
        <v>Yum Pistachio Gelato 33-UAE</v>
      </c>
      <c r="H275">
        <f t="shared" si="31"/>
        <v>562</v>
      </c>
      <c r="I275">
        <f>VLOOKUP(G275,Table4[[SKU-COUNTRY2]:[Price in USD]],2,FALSE)</f>
        <v>113.4</v>
      </c>
      <c r="J275">
        <f>VLOOKUP(G275,Sheet3!$C$82:$I$100,MATCH(E275,Sheet3!C$82:H$82,0),FALSE) * VLOOKUP(C275,Table8[],2,0)</f>
        <v>63750</v>
      </c>
      <c r="K275">
        <f>ROUND(J275*VLOOKUP(F275,Sheet3!$A$106:$C$111,2,FALSE),0)</f>
        <v>19763</v>
      </c>
      <c r="L275">
        <f t="shared" si="28"/>
        <v>43987</v>
      </c>
      <c r="M275">
        <f t="shared" si="29"/>
        <v>69</v>
      </c>
      <c r="N275" t="str">
        <f t="shared" si="32"/>
        <v>No</v>
      </c>
      <c r="O275">
        <f t="shared" si="33"/>
        <v>0</v>
      </c>
      <c r="P275" t="str">
        <f t="shared" si="34"/>
        <v>None</v>
      </c>
      <c r="Q275" t="s">
        <v>124</v>
      </c>
    </row>
    <row r="276" spans="1:17" x14ac:dyDescent="0.3">
      <c r="A276">
        <v>275</v>
      </c>
      <c r="B276" t="s">
        <v>18</v>
      </c>
      <c r="C276" s="1">
        <v>45748</v>
      </c>
      <c r="D276" t="s">
        <v>29</v>
      </c>
      <c r="E276" t="s">
        <v>31</v>
      </c>
      <c r="F276" s="2" t="s">
        <v>39</v>
      </c>
      <c r="G276" t="str">
        <f t="shared" si="30"/>
        <v>Freedom Musk Santal 34-UAE</v>
      </c>
      <c r="H276">
        <f t="shared" si="31"/>
        <v>468</v>
      </c>
      <c r="I276">
        <f>VLOOKUP(G276,Table4[[SKU-COUNTRY2]:[Price in USD]],2,FALSE)</f>
        <v>113.4</v>
      </c>
      <c r="J276">
        <f>VLOOKUP(G276,Sheet3!$C$82:$I$100,MATCH(E276,Sheet3!C$82:H$82,0),FALSE) * VLOOKUP(C276,Table8[],2,0)</f>
        <v>53125</v>
      </c>
      <c r="K276">
        <f>ROUND(J276*VLOOKUP(F276,Sheet3!$A$106:$C$111,2,FALSE),0)</f>
        <v>17000</v>
      </c>
      <c r="L276">
        <f t="shared" si="28"/>
        <v>36125</v>
      </c>
      <c r="M276">
        <f t="shared" si="29"/>
        <v>68</v>
      </c>
      <c r="N276" t="str">
        <f t="shared" si="32"/>
        <v>No</v>
      </c>
      <c r="O276">
        <f t="shared" si="33"/>
        <v>0</v>
      </c>
      <c r="P276" t="str">
        <f t="shared" si="34"/>
        <v>None</v>
      </c>
      <c r="Q276" t="s">
        <v>124</v>
      </c>
    </row>
    <row r="277" spans="1:17" x14ac:dyDescent="0.3">
      <c r="A277">
        <v>276</v>
      </c>
      <c r="B277" t="s">
        <v>18</v>
      </c>
      <c r="C277" s="1">
        <v>45748</v>
      </c>
      <c r="D277" t="s">
        <v>29</v>
      </c>
      <c r="E277" t="s">
        <v>31</v>
      </c>
      <c r="F277" s="2" t="s">
        <v>40</v>
      </c>
      <c r="G277" t="str">
        <f t="shared" si="30"/>
        <v>Musk 12-UAE</v>
      </c>
      <c r="H277">
        <f t="shared" si="31"/>
        <v>375</v>
      </c>
      <c r="I277">
        <f>VLOOKUP(G277,Table4[[SKU-COUNTRY2]:[Price in USD]],2,FALSE)</f>
        <v>113.4</v>
      </c>
      <c r="J277">
        <f>VLOOKUP(G277,Sheet3!$C$82:$I$100,MATCH(E277,Sheet3!C$82:H$82,0),FALSE) * VLOOKUP(C277,Table8[],2,0)</f>
        <v>42500</v>
      </c>
      <c r="K277">
        <f>ROUND(J277*VLOOKUP(F277,Sheet3!$A$106:$C$111,2,FALSE),0)</f>
        <v>12750</v>
      </c>
      <c r="L277">
        <f t="shared" si="28"/>
        <v>29750</v>
      </c>
      <c r="M277">
        <f t="shared" si="29"/>
        <v>70</v>
      </c>
      <c r="N277" t="str">
        <f t="shared" si="32"/>
        <v>No</v>
      </c>
      <c r="O277">
        <f t="shared" si="33"/>
        <v>0</v>
      </c>
      <c r="P277" t="str">
        <f t="shared" si="34"/>
        <v>None</v>
      </c>
      <c r="Q277" t="s">
        <v>124</v>
      </c>
    </row>
    <row r="278" spans="1:17" x14ac:dyDescent="0.3">
      <c r="A278">
        <v>277</v>
      </c>
      <c r="B278" t="s">
        <v>18</v>
      </c>
      <c r="C278" s="1">
        <v>45748</v>
      </c>
      <c r="D278" t="s">
        <v>29</v>
      </c>
      <c r="E278" t="s">
        <v>33</v>
      </c>
      <c r="F278" s="2" t="s">
        <v>35</v>
      </c>
      <c r="G278" t="str">
        <f t="shared" si="30"/>
        <v>Vanilla 28-UAE</v>
      </c>
      <c r="H278">
        <f t="shared" si="31"/>
        <v>750</v>
      </c>
      <c r="I278">
        <f>VLOOKUP(G278,Table4[[SKU-COUNTRY2]:[Price in USD]],2,FALSE)</f>
        <v>113.4</v>
      </c>
      <c r="J278">
        <f>VLOOKUP(G278,Sheet3!$C$82:$I$100,MATCH(E278,Sheet3!C$82:H$82,0),FALSE) * VLOOKUP(C278,Table8[],2,0)</f>
        <v>85000</v>
      </c>
      <c r="K278">
        <f>ROUND(J278*VLOOKUP(F278,Sheet3!$A$106:$C$111,2,FALSE),0)</f>
        <v>25500</v>
      </c>
      <c r="L278">
        <f t="shared" si="28"/>
        <v>59500</v>
      </c>
      <c r="M278">
        <f t="shared" si="29"/>
        <v>70</v>
      </c>
      <c r="N278" t="str">
        <f t="shared" si="32"/>
        <v>No</v>
      </c>
      <c r="O278">
        <f t="shared" si="33"/>
        <v>0</v>
      </c>
      <c r="P278" t="str">
        <f t="shared" si="34"/>
        <v>None</v>
      </c>
      <c r="Q278" t="s">
        <v>124</v>
      </c>
    </row>
    <row r="279" spans="1:17" x14ac:dyDescent="0.3">
      <c r="A279">
        <v>278</v>
      </c>
      <c r="B279" t="s">
        <v>18</v>
      </c>
      <c r="C279" s="1">
        <v>45748</v>
      </c>
      <c r="D279" t="s">
        <v>29</v>
      </c>
      <c r="E279" t="s">
        <v>33</v>
      </c>
      <c r="F279" s="2" t="s">
        <v>36</v>
      </c>
      <c r="G279" t="str">
        <f t="shared" si="30"/>
        <v>Eden Juicy Apple 01-UAE</v>
      </c>
      <c r="H279">
        <f t="shared" si="31"/>
        <v>562</v>
      </c>
      <c r="I279">
        <f>VLOOKUP(G279,Table4[[SKU-COUNTRY2]:[Price in USD]],2,FALSE)</f>
        <v>113.4</v>
      </c>
      <c r="J279">
        <f>VLOOKUP(G279,Sheet3!$C$82:$I$100,MATCH(E279,Sheet3!C$82:H$82,0),FALSE) * VLOOKUP(C279,Table8[],2,0)</f>
        <v>63750</v>
      </c>
      <c r="K279">
        <f>ROUND(J279*VLOOKUP(F279,Sheet3!$A$106:$C$111,2,FALSE),0)</f>
        <v>19763</v>
      </c>
      <c r="L279">
        <f t="shared" si="28"/>
        <v>43987</v>
      </c>
      <c r="M279">
        <f t="shared" si="29"/>
        <v>69</v>
      </c>
      <c r="N279" t="str">
        <f t="shared" si="32"/>
        <v>No</v>
      </c>
      <c r="O279">
        <f t="shared" si="33"/>
        <v>0</v>
      </c>
      <c r="P279" t="str">
        <f t="shared" si="34"/>
        <v>None</v>
      </c>
      <c r="Q279" t="s">
        <v>124</v>
      </c>
    </row>
    <row r="280" spans="1:17" x14ac:dyDescent="0.3">
      <c r="A280">
        <v>279</v>
      </c>
      <c r="B280" t="s">
        <v>18</v>
      </c>
      <c r="C280" s="1">
        <v>45748</v>
      </c>
      <c r="D280" t="s">
        <v>29</v>
      </c>
      <c r="E280" t="s">
        <v>33</v>
      </c>
      <c r="F280" s="2" t="s">
        <v>37</v>
      </c>
      <c r="G280" t="str">
        <f t="shared" si="30"/>
        <v>Oudgasm Tobacco Oud 04-UAE</v>
      </c>
      <c r="H280">
        <f t="shared" si="31"/>
        <v>1000</v>
      </c>
      <c r="I280">
        <f>VLOOKUP(G280,Table4[[SKU-COUNTRY2]:[Price in USD]],2,FALSE)</f>
        <v>148.77000000000001</v>
      </c>
      <c r="J280">
        <f>VLOOKUP(G280,Sheet3!$C$82:$I$100,MATCH(E280,Sheet3!C$82:H$82,0),FALSE) * VLOOKUP(C280,Table8[],2,0)</f>
        <v>148750</v>
      </c>
      <c r="K280">
        <f>ROUND(J280*VLOOKUP(F280,Sheet3!$A$106:$C$111,2,FALSE),0)</f>
        <v>52063</v>
      </c>
      <c r="L280">
        <f t="shared" si="28"/>
        <v>96687</v>
      </c>
      <c r="M280">
        <f t="shared" si="29"/>
        <v>65</v>
      </c>
      <c r="N280" t="str">
        <f t="shared" si="32"/>
        <v>No</v>
      </c>
      <c r="O280">
        <f t="shared" si="33"/>
        <v>0</v>
      </c>
      <c r="P280" t="str">
        <f t="shared" si="34"/>
        <v>None</v>
      </c>
      <c r="Q280" t="s">
        <v>124</v>
      </c>
    </row>
    <row r="281" spans="1:17" x14ac:dyDescent="0.3">
      <c r="A281">
        <v>280</v>
      </c>
      <c r="B281" t="s">
        <v>18</v>
      </c>
      <c r="C281" s="1">
        <v>45748</v>
      </c>
      <c r="D281" t="s">
        <v>29</v>
      </c>
      <c r="E281" t="s">
        <v>33</v>
      </c>
      <c r="F281" s="2" t="s">
        <v>38</v>
      </c>
      <c r="G281" t="str">
        <f t="shared" si="30"/>
        <v>Yum Pistachio Gelato 33-UAE</v>
      </c>
      <c r="H281">
        <f t="shared" si="31"/>
        <v>450</v>
      </c>
      <c r="I281">
        <f>VLOOKUP(G281,Table4[[SKU-COUNTRY2]:[Price in USD]],2,FALSE)</f>
        <v>113.4</v>
      </c>
      <c r="J281">
        <f>VLOOKUP(G281,Sheet3!$C$82:$I$100,MATCH(E281,Sheet3!C$82:H$82,0),FALSE) * VLOOKUP(C281,Table8[],2,0)</f>
        <v>51000</v>
      </c>
      <c r="K281">
        <f>ROUND(J281*VLOOKUP(F281,Sheet3!$A$106:$C$111,2,FALSE),0)</f>
        <v>15810</v>
      </c>
      <c r="L281">
        <f t="shared" si="28"/>
        <v>35190</v>
      </c>
      <c r="M281">
        <f t="shared" si="29"/>
        <v>69</v>
      </c>
      <c r="N281" t="str">
        <f t="shared" si="32"/>
        <v>No</v>
      </c>
      <c r="O281">
        <f t="shared" si="33"/>
        <v>0</v>
      </c>
      <c r="P281" t="str">
        <f t="shared" si="34"/>
        <v>None</v>
      </c>
      <c r="Q281" t="s">
        <v>124</v>
      </c>
    </row>
    <row r="282" spans="1:17" x14ac:dyDescent="0.3">
      <c r="A282">
        <v>281</v>
      </c>
      <c r="B282" t="s">
        <v>18</v>
      </c>
      <c r="C282" s="1">
        <v>45748</v>
      </c>
      <c r="D282" t="s">
        <v>29</v>
      </c>
      <c r="E282" t="s">
        <v>33</v>
      </c>
      <c r="F282" s="2" t="s">
        <v>39</v>
      </c>
      <c r="G282" t="str">
        <f t="shared" si="30"/>
        <v>Freedom Musk Santal 34-UAE</v>
      </c>
      <c r="H282">
        <f t="shared" si="31"/>
        <v>375</v>
      </c>
      <c r="I282">
        <f>VLOOKUP(G282,Table4[[SKU-COUNTRY2]:[Price in USD]],2,FALSE)</f>
        <v>113.4</v>
      </c>
      <c r="J282">
        <f>VLOOKUP(G282,Sheet3!$C$82:$I$100,MATCH(E282,Sheet3!C$82:H$82,0),FALSE) * VLOOKUP(C282,Table8[],2,0)</f>
        <v>42500</v>
      </c>
      <c r="K282">
        <f>ROUND(J282*VLOOKUP(F282,Sheet3!$A$106:$C$111,2,FALSE),0)</f>
        <v>13600</v>
      </c>
      <c r="L282">
        <f t="shared" si="28"/>
        <v>28900</v>
      </c>
      <c r="M282">
        <f t="shared" si="29"/>
        <v>68</v>
      </c>
      <c r="N282" t="str">
        <f t="shared" si="32"/>
        <v>No</v>
      </c>
      <c r="O282">
        <f t="shared" si="33"/>
        <v>0</v>
      </c>
      <c r="P282" t="str">
        <f t="shared" si="34"/>
        <v>None</v>
      </c>
      <c r="Q282" t="s">
        <v>124</v>
      </c>
    </row>
    <row r="283" spans="1:17" x14ac:dyDescent="0.3">
      <c r="A283">
        <v>282</v>
      </c>
      <c r="B283" t="s">
        <v>18</v>
      </c>
      <c r="C283" s="1">
        <v>45748</v>
      </c>
      <c r="D283" t="s">
        <v>29</v>
      </c>
      <c r="E283" t="s">
        <v>33</v>
      </c>
      <c r="F283" s="2" t="s">
        <v>40</v>
      </c>
      <c r="G283" t="str">
        <f t="shared" si="30"/>
        <v>Musk 12-UAE</v>
      </c>
      <c r="H283">
        <f t="shared" si="31"/>
        <v>300</v>
      </c>
      <c r="I283">
        <f>VLOOKUP(G283,Table4[[SKU-COUNTRY2]:[Price in USD]],2,FALSE)</f>
        <v>113.4</v>
      </c>
      <c r="J283">
        <f>VLOOKUP(G283,Sheet3!$C$82:$I$100,MATCH(E283,Sheet3!C$82:H$82,0),FALSE) * VLOOKUP(C283,Table8[],2,0)</f>
        <v>34000</v>
      </c>
      <c r="K283">
        <f>ROUND(J283*VLOOKUP(F283,Sheet3!$A$106:$C$111,2,FALSE),0)</f>
        <v>10200</v>
      </c>
      <c r="L283">
        <f t="shared" si="28"/>
        <v>23800</v>
      </c>
      <c r="M283">
        <f t="shared" si="29"/>
        <v>70</v>
      </c>
      <c r="N283" t="str">
        <f t="shared" si="32"/>
        <v>No</v>
      </c>
      <c r="O283">
        <f t="shared" si="33"/>
        <v>0</v>
      </c>
      <c r="P283" t="str">
        <f t="shared" si="34"/>
        <v>None</v>
      </c>
      <c r="Q283" t="s">
        <v>124</v>
      </c>
    </row>
    <row r="284" spans="1:17" x14ac:dyDescent="0.3">
      <c r="A284">
        <v>283</v>
      </c>
      <c r="B284" t="s">
        <v>18</v>
      </c>
      <c r="C284" s="1">
        <v>45748</v>
      </c>
      <c r="D284" t="s">
        <v>29</v>
      </c>
      <c r="E284" t="s">
        <v>34</v>
      </c>
      <c r="F284" s="2" t="s">
        <v>35</v>
      </c>
      <c r="G284" t="str">
        <f t="shared" si="30"/>
        <v>Vanilla 28-UAE</v>
      </c>
      <c r="H284">
        <f t="shared" si="31"/>
        <v>375</v>
      </c>
      <c r="I284">
        <f>VLOOKUP(G284,Table4[[SKU-COUNTRY2]:[Price in USD]],2,FALSE)</f>
        <v>113.4</v>
      </c>
      <c r="J284">
        <f>VLOOKUP(G284,Sheet3!$C$82:$I$100,MATCH(E284,Sheet3!C$82:H$82,0),FALSE) * VLOOKUP(C284,Table8[],2,0)</f>
        <v>42500</v>
      </c>
      <c r="K284">
        <f>ROUND(J284*VLOOKUP(F284,Sheet3!$A$106:$C$111,2,FALSE),0)</f>
        <v>12750</v>
      </c>
      <c r="L284">
        <f t="shared" si="28"/>
        <v>29750</v>
      </c>
      <c r="M284">
        <f t="shared" si="29"/>
        <v>70</v>
      </c>
      <c r="N284" t="str">
        <f t="shared" si="32"/>
        <v>No</v>
      </c>
      <c r="O284">
        <f t="shared" si="33"/>
        <v>0</v>
      </c>
      <c r="P284" t="str">
        <f t="shared" si="34"/>
        <v>None</v>
      </c>
      <c r="Q284" t="s">
        <v>124</v>
      </c>
    </row>
    <row r="285" spans="1:17" x14ac:dyDescent="0.3">
      <c r="A285">
        <v>284</v>
      </c>
      <c r="B285" t="s">
        <v>18</v>
      </c>
      <c r="C285" s="1">
        <v>45748</v>
      </c>
      <c r="D285" t="s">
        <v>29</v>
      </c>
      <c r="E285" t="s">
        <v>34</v>
      </c>
      <c r="F285" s="2" t="s">
        <v>36</v>
      </c>
      <c r="G285" t="str">
        <f t="shared" si="30"/>
        <v>Eden Juicy Apple 01-UAE</v>
      </c>
      <c r="H285">
        <f t="shared" si="31"/>
        <v>281</v>
      </c>
      <c r="I285">
        <f>VLOOKUP(G285,Table4[[SKU-COUNTRY2]:[Price in USD]],2,FALSE)</f>
        <v>113.4</v>
      </c>
      <c r="J285">
        <f>VLOOKUP(G285,Sheet3!$C$82:$I$100,MATCH(E285,Sheet3!C$82:H$82,0),FALSE) * VLOOKUP(C285,Table8[],2,0)</f>
        <v>31875</v>
      </c>
      <c r="K285">
        <f>ROUND(J285*VLOOKUP(F285,Sheet3!$A$106:$C$111,2,FALSE),0)</f>
        <v>9881</v>
      </c>
      <c r="L285">
        <f t="shared" si="28"/>
        <v>21994</v>
      </c>
      <c r="M285">
        <f t="shared" si="29"/>
        <v>69</v>
      </c>
      <c r="N285" t="str">
        <f t="shared" si="32"/>
        <v>No</v>
      </c>
      <c r="O285">
        <f t="shared" si="33"/>
        <v>0</v>
      </c>
      <c r="P285" t="str">
        <f t="shared" si="34"/>
        <v>None</v>
      </c>
      <c r="Q285" t="s">
        <v>124</v>
      </c>
    </row>
    <row r="286" spans="1:17" x14ac:dyDescent="0.3">
      <c r="A286">
        <v>285</v>
      </c>
      <c r="B286" t="s">
        <v>18</v>
      </c>
      <c r="C286" s="1">
        <v>45748</v>
      </c>
      <c r="D286" t="s">
        <v>29</v>
      </c>
      <c r="E286" t="s">
        <v>34</v>
      </c>
      <c r="F286" s="2" t="s">
        <v>37</v>
      </c>
      <c r="G286" t="str">
        <f t="shared" si="30"/>
        <v>Oudgasm Tobacco Oud 04-UAE</v>
      </c>
      <c r="H286">
        <f t="shared" si="31"/>
        <v>500</v>
      </c>
      <c r="I286">
        <f>VLOOKUP(G286,Table4[[SKU-COUNTRY2]:[Price in USD]],2,FALSE)</f>
        <v>148.77000000000001</v>
      </c>
      <c r="J286">
        <f>VLOOKUP(G286,Sheet3!$C$82:$I$100,MATCH(E286,Sheet3!C$82:H$82,0),FALSE) * VLOOKUP(C286,Table8[],2,0)</f>
        <v>74375</v>
      </c>
      <c r="K286">
        <f>ROUND(J286*VLOOKUP(F286,Sheet3!$A$106:$C$111,2,FALSE),0)</f>
        <v>26031</v>
      </c>
      <c r="L286">
        <f t="shared" si="28"/>
        <v>48344</v>
      </c>
      <c r="M286">
        <f t="shared" si="29"/>
        <v>65</v>
      </c>
      <c r="N286" t="str">
        <f t="shared" si="32"/>
        <v>No</v>
      </c>
      <c r="O286">
        <f t="shared" si="33"/>
        <v>0</v>
      </c>
      <c r="P286" t="str">
        <f t="shared" si="34"/>
        <v>None</v>
      </c>
      <c r="Q286" t="s">
        <v>124</v>
      </c>
    </row>
    <row r="287" spans="1:17" x14ac:dyDescent="0.3">
      <c r="A287">
        <v>286</v>
      </c>
      <c r="B287" t="s">
        <v>18</v>
      </c>
      <c r="C287" s="1">
        <v>45748</v>
      </c>
      <c r="D287" t="s">
        <v>29</v>
      </c>
      <c r="E287" t="s">
        <v>34</v>
      </c>
      <c r="F287" s="2" t="s">
        <v>38</v>
      </c>
      <c r="G287" t="str">
        <f t="shared" si="30"/>
        <v>Yum Pistachio Gelato 33-UAE</v>
      </c>
      <c r="H287">
        <f t="shared" si="31"/>
        <v>225</v>
      </c>
      <c r="I287">
        <f>VLOOKUP(G287,Table4[[SKU-COUNTRY2]:[Price in USD]],2,FALSE)</f>
        <v>113.4</v>
      </c>
      <c r="J287">
        <f>VLOOKUP(G287,Sheet3!$C$82:$I$100,MATCH(E287,Sheet3!C$82:H$82,0),FALSE) * VLOOKUP(C287,Table8[],2,0)</f>
        <v>25500</v>
      </c>
      <c r="K287">
        <f>ROUND(J287*VLOOKUP(F287,Sheet3!$A$106:$C$111,2,FALSE),0)</f>
        <v>7905</v>
      </c>
      <c r="L287">
        <f t="shared" si="28"/>
        <v>17595</v>
      </c>
      <c r="M287">
        <f t="shared" si="29"/>
        <v>69</v>
      </c>
      <c r="N287" t="str">
        <f t="shared" si="32"/>
        <v>No</v>
      </c>
      <c r="O287">
        <f t="shared" si="33"/>
        <v>0</v>
      </c>
      <c r="P287" t="str">
        <f t="shared" si="34"/>
        <v>None</v>
      </c>
      <c r="Q287" t="s">
        <v>124</v>
      </c>
    </row>
    <row r="288" spans="1:17" x14ac:dyDescent="0.3">
      <c r="A288">
        <v>287</v>
      </c>
      <c r="B288" t="s">
        <v>18</v>
      </c>
      <c r="C288" s="1">
        <v>45748</v>
      </c>
      <c r="D288" t="s">
        <v>29</v>
      </c>
      <c r="E288" t="s">
        <v>34</v>
      </c>
      <c r="F288" s="2" t="s">
        <v>39</v>
      </c>
      <c r="G288" t="str">
        <f t="shared" si="30"/>
        <v>Freedom Musk Santal 34-UAE</v>
      </c>
      <c r="H288">
        <f t="shared" si="31"/>
        <v>187</v>
      </c>
      <c r="I288">
        <f>VLOOKUP(G288,Table4[[SKU-COUNTRY2]:[Price in USD]],2,FALSE)</f>
        <v>113.4</v>
      </c>
      <c r="J288">
        <f>VLOOKUP(G288,Sheet3!$C$82:$I$100,MATCH(E288,Sheet3!C$82:H$82,0),FALSE) * VLOOKUP(C288,Table8[],2,0)</f>
        <v>21250</v>
      </c>
      <c r="K288">
        <f>ROUND(J288*VLOOKUP(F288,Sheet3!$A$106:$C$111,2,FALSE),0)</f>
        <v>6800</v>
      </c>
      <c r="L288">
        <f t="shared" si="28"/>
        <v>14450</v>
      </c>
      <c r="M288">
        <f t="shared" si="29"/>
        <v>68</v>
      </c>
      <c r="N288" t="str">
        <f t="shared" si="32"/>
        <v>No</v>
      </c>
      <c r="O288">
        <f t="shared" si="33"/>
        <v>0</v>
      </c>
      <c r="P288" t="str">
        <f t="shared" si="34"/>
        <v>None</v>
      </c>
      <c r="Q288" t="s">
        <v>124</v>
      </c>
    </row>
    <row r="289" spans="1:17" x14ac:dyDescent="0.3">
      <c r="A289">
        <v>288</v>
      </c>
      <c r="B289" t="s">
        <v>18</v>
      </c>
      <c r="C289" s="1">
        <v>45748</v>
      </c>
      <c r="D289" t="s">
        <v>29</v>
      </c>
      <c r="E289" t="s">
        <v>34</v>
      </c>
      <c r="F289" s="2" t="s">
        <v>40</v>
      </c>
      <c r="G289" t="str">
        <f t="shared" si="30"/>
        <v>Musk 12-UAE</v>
      </c>
      <c r="H289">
        <f t="shared" si="31"/>
        <v>150</v>
      </c>
      <c r="I289">
        <f>VLOOKUP(G289,Table4[[SKU-COUNTRY2]:[Price in USD]],2,FALSE)</f>
        <v>113.4</v>
      </c>
      <c r="J289">
        <f>VLOOKUP(G289,Sheet3!$C$82:$I$100,MATCH(E289,Sheet3!C$82:H$82,0),FALSE) * VLOOKUP(C289,Table8[],2,0)</f>
        <v>17000</v>
      </c>
      <c r="K289">
        <f>ROUND(J289*VLOOKUP(F289,Sheet3!$A$106:$C$111,2,FALSE),0)</f>
        <v>5100</v>
      </c>
      <c r="L289">
        <f t="shared" si="28"/>
        <v>11900</v>
      </c>
      <c r="M289">
        <f t="shared" si="29"/>
        <v>70</v>
      </c>
      <c r="N289" t="str">
        <f t="shared" si="32"/>
        <v>No</v>
      </c>
      <c r="O289">
        <f t="shared" si="33"/>
        <v>0</v>
      </c>
      <c r="P289" t="str">
        <f t="shared" si="34"/>
        <v>None</v>
      </c>
      <c r="Q289" t="s">
        <v>124</v>
      </c>
    </row>
    <row r="290" spans="1:17" x14ac:dyDescent="0.3">
      <c r="A290">
        <v>289</v>
      </c>
      <c r="B290" t="s">
        <v>19</v>
      </c>
      <c r="C290" s="1">
        <v>45778</v>
      </c>
      <c r="D290" t="s">
        <v>28</v>
      </c>
      <c r="E290" t="s">
        <v>32</v>
      </c>
      <c r="F290" s="2" t="s">
        <v>35</v>
      </c>
      <c r="G290" t="str">
        <f t="shared" si="30"/>
        <v>Vanilla 28-USA</v>
      </c>
      <c r="H290">
        <f t="shared" si="31"/>
        <v>24383</v>
      </c>
      <c r="I290">
        <f>VLOOKUP(G290,Table4[[SKU-COUNTRY2]:[Price in USD]],2,FALSE)</f>
        <v>105</v>
      </c>
      <c r="J290">
        <f>VLOOKUP(G290,Sheet3!$C$82:$I$100,MATCH(E290,Sheet3!C$82:H$82,0),FALSE) * VLOOKUP(C290,Table8[],2,0)</f>
        <v>2560250</v>
      </c>
      <c r="K290">
        <f>ROUND(J290*VLOOKUP(F290,Sheet3!$A$106:$C$111,2,FALSE),0)</f>
        <v>768075</v>
      </c>
      <c r="L290">
        <f t="shared" si="28"/>
        <v>1792175</v>
      </c>
      <c r="M290">
        <f t="shared" si="29"/>
        <v>70</v>
      </c>
      <c r="N290" t="str">
        <f t="shared" si="32"/>
        <v>No</v>
      </c>
      <c r="O290">
        <f t="shared" si="33"/>
        <v>0</v>
      </c>
      <c r="P290" t="str">
        <f t="shared" si="34"/>
        <v>None</v>
      </c>
      <c r="Q290" t="s">
        <v>124</v>
      </c>
    </row>
    <row r="291" spans="1:17" x14ac:dyDescent="0.3">
      <c r="A291">
        <v>290</v>
      </c>
      <c r="B291" t="s">
        <v>19</v>
      </c>
      <c r="C291" s="1">
        <v>45778</v>
      </c>
      <c r="D291" t="s">
        <v>28</v>
      </c>
      <c r="E291" t="s">
        <v>32</v>
      </c>
      <c r="F291" s="2" t="s">
        <v>36</v>
      </c>
      <c r="G291" t="str">
        <f t="shared" si="30"/>
        <v>Eden Juicy Apple 01-USA</v>
      </c>
      <c r="H291">
        <f t="shared" si="31"/>
        <v>13933</v>
      </c>
      <c r="I291">
        <f>VLOOKUP(G291,Table4[[SKU-COUNTRY2]:[Price in USD]],2,FALSE)</f>
        <v>105</v>
      </c>
      <c r="J291">
        <f>VLOOKUP(G291,Sheet3!$C$82:$I$100,MATCH(E291,Sheet3!C$82:H$82,0),FALSE) * VLOOKUP(C291,Table8[],2,0)</f>
        <v>1463000.0000000002</v>
      </c>
      <c r="K291">
        <f>ROUND(J291*VLOOKUP(F291,Sheet3!$A$106:$C$111,2,FALSE),0)</f>
        <v>453530</v>
      </c>
      <c r="L291">
        <f t="shared" si="28"/>
        <v>1009470.0000000002</v>
      </c>
      <c r="M291">
        <f t="shared" si="29"/>
        <v>69</v>
      </c>
      <c r="N291" t="str">
        <f t="shared" si="32"/>
        <v>No</v>
      </c>
      <c r="O291">
        <f t="shared" si="33"/>
        <v>0</v>
      </c>
      <c r="P291" t="str">
        <f t="shared" si="34"/>
        <v>None</v>
      </c>
      <c r="Q291" t="s">
        <v>124</v>
      </c>
    </row>
    <row r="292" spans="1:17" x14ac:dyDescent="0.3">
      <c r="A292">
        <v>291</v>
      </c>
      <c r="B292" t="s">
        <v>19</v>
      </c>
      <c r="C292" s="1">
        <v>45778</v>
      </c>
      <c r="D292" t="s">
        <v>28</v>
      </c>
      <c r="E292" t="s">
        <v>32</v>
      </c>
      <c r="F292" s="2" t="s">
        <v>37</v>
      </c>
      <c r="G292" t="str">
        <f t="shared" si="30"/>
        <v>Oudgasm Tobacco Oud 04-USA</v>
      </c>
      <c r="H292">
        <f t="shared" si="31"/>
        <v>9405</v>
      </c>
      <c r="I292">
        <f>VLOOKUP(G292,Table4[[SKU-COUNTRY2]:[Price in USD]],2,FALSE)</f>
        <v>140</v>
      </c>
      <c r="J292">
        <f>VLOOKUP(G292,Sheet3!$C$82:$I$100,MATCH(E292,Sheet3!C$82:H$82,0),FALSE) * VLOOKUP(C292,Table8[],2,0)</f>
        <v>1316700</v>
      </c>
      <c r="K292">
        <f>ROUND(J292*VLOOKUP(F292,Sheet3!$A$106:$C$111,2,FALSE),0)</f>
        <v>460845</v>
      </c>
      <c r="L292">
        <f t="shared" si="28"/>
        <v>855855</v>
      </c>
      <c r="M292">
        <f t="shared" si="29"/>
        <v>65</v>
      </c>
      <c r="N292" t="str">
        <f t="shared" si="32"/>
        <v>No</v>
      </c>
      <c r="O292">
        <f t="shared" si="33"/>
        <v>0</v>
      </c>
      <c r="P292" t="str">
        <f t="shared" si="34"/>
        <v>None</v>
      </c>
      <c r="Q292" t="s">
        <v>124</v>
      </c>
    </row>
    <row r="293" spans="1:17" x14ac:dyDescent="0.3">
      <c r="A293">
        <v>292</v>
      </c>
      <c r="B293" t="s">
        <v>19</v>
      </c>
      <c r="C293" s="1">
        <v>45778</v>
      </c>
      <c r="D293" t="s">
        <v>28</v>
      </c>
      <c r="E293" t="s">
        <v>32</v>
      </c>
      <c r="F293" s="2" t="s">
        <v>38</v>
      </c>
      <c r="G293" t="str">
        <f t="shared" si="30"/>
        <v>Yum Pistachio Gelato 33-USA</v>
      </c>
      <c r="H293">
        <f t="shared" si="31"/>
        <v>8360</v>
      </c>
      <c r="I293">
        <f>VLOOKUP(G293,Table4[[SKU-COUNTRY2]:[Price in USD]],2,FALSE)</f>
        <v>105</v>
      </c>
      <c r="J293">
        <f>VLOOKUP(G293,Sheet3!$C$82:$I$100,MATCH(E293,Sheet3!C$82:H$82,0),FALSE) * VLOOKUP(C293,Table8[],2,0)</f>
        <v>877800.00000000012</v>
      </c>
      <c r="K293">
        <f>ROUND(J293*VLOOKUP(F293,Sheet3!$A$106:$C$111,2,FALSE),0)</f>
        <v>272118</v>
      </c>
      <c r="L293">
        <f t="shared" si="28"/>
        <v>605682.00000000012</v>
      </c>
      <c r="M293">
        <f t="shared" si="29"/>
        <v>69</v>
      </c>
      <c r="N293" t="str">
        <f t="shared" si="32"/>
        <v>No</v>
      </c>
      <c r="O293">
        <f t="shared" si="33"/>
        <v>0</v>
      </c>
      <c r="P293" t="str">
        <f t="shared" si="34"/>
        <v>None</v>
      </c>
      <c r="Q293" t="s">
        <v>124</v>
      </c>
    </row>
    <row r="294" spans="1:17" x14ac:dyDescent="0.3">
      <c r="A294">
        <v>293</v>
      </c>
      <c r="B294" t="s">
        <v>19</v>
      </c>
      <c r="C294" s="1">
        <v>45778</v>
      </c>
      <c r="D294" t="s">
        <v>28</v>
      </c>
      <c r="E294" t="s">
        <v>32</v>
      </c>
      <c r="F294" s="2" t="s">
        <v>39</v>
      </c>
      <c r="G294" t="str">
        <f t="shared" si="30"/>
        <v>Freedom Musk Santal 34-USA</v>
      </c>
      <c r="H294">
        <f t="shared" si="31"/>
        <v>6967</v>
      </c>
      <c r="I294">
        <f>VLOOKUP(G294,Table4[[SKU-COUNTRY2]:[Price in USD]],2,FALSE)</f>
        <v>105</v>
      </c>
      <c r="J294">
        <f>VLOOKUP(G294,Sheet3!$C$82:$I$100,MATCH(E294,Sheet3!C$82:H$82,0),FALSE) * VLOOKUP(C294,Table8[],2,0)</f>
        <v>731500.00000000012</v>
      </c>
      <c r="K294">
        <f>ROUND(J294*VLOOKUP(F294,Sheet3!$A$106:$C$111,2,FALSE),0)</f>
        <v>234080</v>
      </c>
      <c r="L294">
        <f t="shared" si="28"/>
        <v>497420.00000000012</v>
      </c>
      <c r="M294">
        <f t="shared" si="29"/>
        <v>68</v>
      </c>
      <c r="N294" t="str">
        <f t="shared" si="32"/>
        <v>No</v>
      </c>
      <c r="O294">
        <f t="shared" si="33"/>
        <v>0</v>
      </c>
      <c r="P294" t="str">
        <f t="shared" si="34"/>
        <v>None</v>
      </c>
      <c r="Q294" t="s">
        <v>124</v>
      </c>
    </row>
    <row r="295" spans="1:17" x14ac:dyDescent="0.3">
      <c r="A295">
        <v>294</v>
      </c>
      <c r="B295" t="s">
        <v>19</v>
      </c>
      <c r="C295" s="1">
        <v>45778</v>
      </c>
      <c r="D295" t="s">
        <v>28</v>
      </c>
      <c r="E295" t="s">
        <v>32</v>
      </c>
      <c r="F295" s="2" t="s">
        <v>40</v>
      </c>
      <c r="G295" t="str">
        <f t="shared" si="30"/>
        <v>Musk 12-USA</v>
      </c>
      <c r="H295">
        <f t="shared" si="31"/>
        <v>3483</v>
      </c>
      <c r="I295">
        <f>VLOOKUP(G295,Table4[[SKU-COUNTRY2]:[Price in USD]],2,FALSE)</f>
        <v>105</v>
      </c>
      <c r="J295">
        <f>VLOOKUP(G295,Sheet3!$C$82:$I$100,MATCH(E295,Sheet3!C$82:H$82,0),FALSE) * VLOOKUP(C295,Table8[],2,0)</f>
        <v>365750.00000000006</v>
      </c>
      <c r="K295">
        <f>ROUND(J295*VLOOKUP(F295,Sheet3!$A$106:$C$111,2,FALSE),0)</f>
        <v>109725</v>
      </c>
      <c r="L295">
        <f t="shared" si="28"/>
        <v>256025.00000000006</v>
      </c>
      <c r="M295">
        <f t="shared" si="29"/>
        <v>70</v>
      </c>
      <c r="N295" t="str">
        <f t="shared" si="32"/>
        <v>No</v>
      </c>
      <c r="O295">
        <f t="shared" si="33"/>
        <v>0</v>
      </c>
      <c r="P295" t="str">
        <f t="shared" si="34"/>
        <v>None</v>
      </c>
      <c r="Q295" t="s">
        <v>124</v>
      </c>
    </row>
    <row r="296" spans="1:17" x14ac:dyDescent="0.3">
      <c r="A296">
        <v>295</v>
      </c>
      <c r="B296" t="s">
        <v>19</v>
      </c>
      <c r="C296" s="1">
        <v>45778</v>
      </c>
      <c r="D296" t="s">
        <v>28</v>
      </c>
      <c r="E296" t="s">
        <v>31</v>
      </c>
      <c r="F296" s="2" t="s">
        <v>35</v>
      </c>
      <c r="G296" t="str">
        <f t="shared" si="30"/>
        <v>Vanilla 28-USA</v>
      </c>
      <c r="H296">
        <f t="shared" si="31"/>
        <v>11083</v>
      </c>
      <c r="I296">
        <f>VLOOKUP(G296,Table4[[SKU-COUNTRY2]:[Price in USD]],2,FALSE)</f>
        <v>105</v>
      </c>
      <c r="J296">
        <f>VLOOKUP(G296,Sheet3!$C$82:$I$100,MATCH(E296,Sheet3!C$82:H$82,0),FALSE) * VLOOKUP(C296,Table8[],2,0)</f>
        <v>1163750</v>
      </c>
      <c r="K296">
        <f>ROUND(J296*VLOOKUP(F296,Sheet3!$A$106:$C$111,2,FALSE),0)</f>
        <v>349125</v>
      </c>
      <c r="L296">
        <f t="shared" si="28"/>
        <v>814625</v>
      </c>
      <c r="M296">
        <f t="shared" si="29"/>
        <v>70</v>
      </c>
      <c r="N296" t="str">
        <f t="shared" si="32"/>
        <v>No</v>
      </c>
      <c r="O296">
        <f t="shared" si="33"/>
        <v>0</v>
      </c>
      <c r="P296" t="str">
        <f t="shared" si="34"/>
        <v>None</v>
      </c>
      <c r="Q296" t="s">
        <v>124</v>
      </c>
    </row>
    <row r="297" spans="1:17" x14ac:dyDescent="0.3">
      <c r="A297">
        <v>296</v>
      </c>
      <c r="B297" t="s">
        <v>19</v>
      </c>
      <c r="C297" s="1">
        <v>45778</v>
      </c>
      <c r="D297" t="s">
        <v>28</v>
      </c>
      <c r="E297" t="s">
        <v>31</v>
      </c>
      <c r="F297" s="2" t="s">
        <v>36</v>
      </c>
      <c r="G297" t="str">
        <f t="shared" si="30"/>
        <v>Eden Juicy Apple 01-USA</v>
      </c>
      <c r="H297">
        <f t="shared" si="31"/>
        <v>6333</v>
      </c>
      <c r="I297">
        <f>VLOOKUP(G297,Table4[[SKU-COUNTRY2]:[Price in USD]],2,FALSE)</f>
        <v>105</v>
      </c>
      <c r="J297">
        <f>VLOOKUP(G297,Sheet3!$C$82:$I$100,MATCH(E297,Sheet3!C$82:H$82,0),FALSE) * VLOOKUP(C297,Table8[],2,0)</f>
        <v>665000</v>
      </c>
      <c r="K297">
        <f>ROUND(J297*VLOOKUP(F297,Sheet3!$A$106:$C$111,2,FALSE),0)</f>
        <v>206150</v>
      </c>
      <c r="L297">
        <f t="shared" si="28"/>
        <v>458850</v>
      </c>
      <c r="M297">
        <f t="shared" si="29"/>
        <v>69</v>
      </c>
      <c r="N297" t="str">
        <f t="shared" si="32"/>
        <v>No</v>
      </c>
      <c r="O297">
        <f t="shared" si="33"/>
        <v>0</v>
      </c>
      <c r="P297" t="str">
        <f t="shared" si="34"/>
        <v>None</v>
      </c>
      <c r="Q297" t="s">
        <v>124</v>
      </c>
    </row>
    <row r="298" spans="1:17" x14ac:dyDescent="0.3">
      <c r="A298">
        <v>297</v>
      </c>
      <c r="B298" t="s">
        <v>19</v>
      </c>
      <c r="C298" s="1">
        <v>45778</v>
      </c>
      <c r="D298" t="s">
        <v>28</v>
      </c>
      <c r="E298" t="s">
        <v>31</v>
      </c>
      <c r="F298" s="2" t="s">
        <v>37</v>
      </c>
      <c r="G298" t="str">
        <f t="shared" si="30"/>
        <v>Oudgasm Tobacco Oud 04-USA</v>
      </c>
      <c r="H298">
        <f t="shared" si="31"/>
        <v>4275</v>
      </c>
      <c r="I298">
        <f>VLOOKUP(G298,Table4[[SKU-COUNTRY2]:[Price in USD]],2,FALSE)</f>
        <v>140</v>
      </c>
      <c r="J298">
        <f>VLOOKUP(G298,Sheet3!$C$82:$I$100,MATCH(E298,Sheet3!C$82:H$82,0),FALSE) * VLOOKUP(C298,Table8[],2,0)</f>
        <v>598500</v>
      </c>
      <c r="K298">
        <f>ROUND(J298*VLOOKUP(F298,Sheet3!$A$106:$C$111,2,FALSE),0)</f>
        <v>209475</v>
      </c>
      <c r="L298">
        <f t="shared" si="28"/>
        <v>389025</v>
      </c>
      <c r="M298">
        <f t="shared" si="29"/>
        <v>65</v>
      </c>
      <c r="N298" t="str">
        <f t="shared" si="32"/>
        <v>No</v>
      </c>
      <c r="O298">
        <f t="shared" si="33"/>
        <v>0</v>
      </c>
      <c r="P298" t="str">
        <f t="shared" si="34"/>
        <v>None</v>
      </c>
      <c r="Q298" t="s">
        <v>124</v>
      </c>
    </row>
    <row r="299" spans="1:17" x14ac:dyDescent="0.3">
      <c r="A299">
        <v>298</v>
      </c>
      <c r="B299" t="s">
        <v>19</v>
      </c>
      <c r="C299" s="1">
        <v>45778</v>
      </c>
      <c r="D299" t="s">
        <v>28</v>
      </c>
      <c r="E299" t="s">
        <v>31</v>
      </c>
      <c r="F299" s="2" t="s">
        <v>38</v>
      </c>
      <c r="G299" t="str">
        <f t="shared" si="30"/>
        <v>Yum Pistachio Gelato 33-USA</v>
      </c>
      <c r="H299">
        <f t="shared" si="31"/>
        <v>3800</v>
      </c>
      <c r="I299">
        <f>VLOOKUP(G299,Table4[[SKU-COUNTRY2]:[Price in USD]],2,FALSE)</f>
        <v>105</v>
      </c>
      <c r="J299">
        <f>VLOOKUP(G299,Sheet3!$C$82:$I$100,MATCH(E299,Sheet3!C$82:H$82,0),FALSE) * VLOOKUP(C299,Table8[],2,0)</f>
        <v>399000</v>
      </c>
      <c r="K299">
        <f>ROUND(J299*VLOOKUP(F299,Sheet3!$A$106:$C$111,2,FALSE),0)</f>
        <v>123690</v>
      </c>
      <c r="L299">
        <f t="shared" si="28"/>
        <v>275310</v>
      </c>
      <c r="M299">
        <f t="shared" si="29"/>
        <v>69</v>
      </c>
      <c r="N299" t="str">
        <f t="shared" si="32"/>
        <v>No</v>
      </c>
      <c r="O299">
        <f t="shared" si="33"/>
        <v>0</v>
      </c>
      <c r="P299" t="str">
        <f t="shared" si="34"/>
        <v>None</v>
      </c>
      <c r="Q299" t="s">
        <v>124</v>
      </c>
    </row>
    <row r="300" spans="1:17" x14ac:dyDescent="0.3">
      <c r="A300">
        <v>299</v>
      </c>
      <c r="B300" t="s">
        <v>19</v>
      </c>
      <c r="C300" s="1">
        <v>45778</v>
      </c>
      <c r="D300" t="s">
        <v>28</v>
      </c>
      <c r="E300" t="s">
        <v>31</v>
      </c>
      <c r="F300" s="2" t="s">
        <v>39</v>
      </c>
      <c r="G300" t="str">
        <f t="shared" si="30"/>
        <v>Freedom Musk Santal 34-USA</v>
      </c>
      <c r="H300">
        <f t="shared" si="31"/>
        <v>3167</v>
      </c>
      <c r="I300">
        <f>VLOOKUP(G300,Table4[[SKU-COUNTRY2]:[Price in USD]],2,FALSE)</f>
        <v>105</v>
      </c>
      <c r="J300">
        <f>VLOOKUP(G300,Sheet3!$C$82:$I$100,MATCH(E300,Sheet3!C$82:H$82,0),FALSE) * VLOOKUP(C300,Table8[],2,0)</f>
        <v>332500</v>
      </c>
      <c r="K300">
        <f>ROUND(J300*VLOOKUP(F300,Sheet3!$A$106:$C$111,2,FALSE),0)</f>
        <v>106400</v>
      </c>
      <c r="L300">
        <f t="shared" si="28"/>
        <v>226100</v>
      </c>
      <c r="M300">
        <f t="shared" si="29"/>
        <v>68</v>
      </c>
      <c r="N300" t="str">
        <f t="shared" si="32"/>
        <v>No</v>
      </c>
      <c r="O300">
        <f t="shared" si="33"/>
        <v>0</v>
      </c>
      <c r="P300" t="str">
        <f t="shared" si="34"/>
        <v>None</v>
      </c>
      <c r="Q300" t="s">
        <v>124</v>
      </c>
    </row>
    <row r="301" spans="1:17" x14ac:dyDescent="0.3">
      <c r="A301">
        <v>300</v>
      </c>
      <c r="B301" t="s">
        <v>19</v>
      </c>
      <c r="C301" s="1">
        <v>45778</v>
      </c>
      <c r="D301" t="s">
        <v>28</v>
      </c>
      <c r="E301" t="s">
        <v>31</v>
      </c>
      <c r="F301" s="2" t="s">
        <v>40</v>
      </c>
      <c r="G301" t="str">
        <f t="shared" si="30"/>
        <v>Musk 12-USA</v>
      </c>
      <c r="H301">
        <f t="shared" si="31"/>
        <v>1583</v>
      </c>
      <c r="I301">
        <f>VLOOKUP(G301,Table4[[SKU-COUNTRY2]:[Price in USD]],2,FALSE)</f>
        <v>105</v>
      </c>
      <c r="J301">
        <f>VLOOKUP(G301,Sheet3!$C$82:$I$100,MATCH(E301,Sheet3!C$82:H$82,0),FALSE) * VLOOKUP(C301,Table8[],2,0)</f>
        <v>166250</v>
      </c>
      <c r="K301">
        <f>ROUND(J301*VLOOKUP(F301,Sheet3!$A$106:$C$111,2,FALSE),0)</f>
        <v>49875</v>
      </c>
      <c r="L301">
        <f t="shared" si="28"/>
        <v>116375</v>
      </c>
      <c r="M301">
        <f t="shared" si="29"/>
        <v>70</v>
      </c>
      <c r="N301" t="str">
        <f t="shared" si="32"/>
        <v>No</v>
      </c>
      <c r="O301">
        <f t="shared" si="33"/>
        <v>0</v>
      </c>
      <c r="P301" t="str">
        <f t="shared" si="34"/>
        <v>None</v>
      </c>
      <c r="Q301" t="s">
        <v>124</v>
      </c>
    </row>
    <row r="302" spans="1:17" x14ac:dyDescent="0.3">
      <c r="A302">
        <v>301</v>
      </c>
      <c r="B302" t="s">
        <v>19</v>
      </c>
      <c r="C302" s="1">
        <v>45778</v>
      </c>
      <c r="D302" t="s">
        <v>28</v>
      </c>
      <c r="E302" t="s">
        <v>33</v>
      </c>
      <c r="F302" s="2" t="s">
        <v>35</v>
      </c>
      <c r="G302" t="str">
        <f t="shared" si="30"/>
        <v>Vanilla 28-USA</v>
      </c>
      <c r="H302">
        <f t="shared" si="31"/>
        <v>5320</v>
      </c>
      <c r="I302">
        <f>VLOOKUP(G302,Table4[[SKU-COUNTRY2]:[Price in USD]],2,FALSE)</f>
        <v>105</v>
      </c>
      <c r="J302">
        <f>VLOOKUP(G302,Sheet3!$C$82:$I$100,MATCH(E302,Sheet3!C$82:H$82,0),FALSE) * VLOOKUP(C302,Table8[],2,0)</f>
        <v>558600</v>
      </c>
      <c r="K302">
        <f>ROUND(J302*VLOOKUP(F302,Sheet3!$A$106:$C$111,2,FALSE),0)</f>
        <v>167580</v>
      </c>
      <c r="L302">
        <f t="shared" si="28"/>
        <v>391020</v>
      </c>
      <c r="M302">
        <f t="shared" si="29"/>
        <v>70</v>
      </c>
      <c r="N302" t="str">
        <f t="shared" si="32"/>
        <v>No</v>
      </c>
      <c r="O302">
        <f t="shared" si="33"/>
        <v>0</v>
      </c>
      <c r="P302" t="str">
        <f t="shared" si="34"/>
        <v>None</v>
      </c>
      <c r="Q302" t="s">
        <v>124</v>
      </c>
    </row>
    <row r="303" spans="1:17" x14ac:dyDescent="0.3">
      <c r="A303">
        <v>302</v>
      </c>
      <c r="B303" t="s">
        <v>19</v>
      </c>
      <c r="C303" s="1">
        <v>45778</v>
      </c>
      <c r="D303" t="s">
        <v>28</v>
      </c>
      <c r="E303" t="s">
        <v>33</v>
      </c>
      <c r="F303" s="2" t="s">
        <v>36</v>
      </c>
      <c r="G303" t="str">
        <f t="shared" si="30"/>
        <v>Eden Juicy Apple 01-USA</v>
      </c>
      <c r="H303">
        <f t="shared" si="31"/>
        <v>3040</v>
      </c>
      <c r="I303">
        <f>VLOOKUP(G303,Table4[[SKU-COUNTRY2]:[Price in USD]],2,FALSE)</f>
        <v>105</v>
      </c>
      <c r="J303">
        <f>VLOOKUP(G303,Sheet3!$C$82:$I$100,MATCH(E303,Sheet3!C$82:H$82,0),FALSE) * VLOOKUP(C303,Table8[],2,0)</f>
        <v>319200</v>
      </c>
      <c r="K303">
        <f>ROUND(J303*VLOOKUP(F303,Sheet3!$A$106:$C$111,2,FALSE),0)</f>
        <v>98952</v>
      </c>
      <c r="L303">
        <f t="shared" si="28"/>
        <v>220248</v>
      </c>
      <c r="M303">
        <f t="shared" si="29"/>
        <v>69</v>
      </c>
      <c r="N303" t="str">
        <f t="shared" si="32"/>
        <v>No</v>
      </c>
      <c r="O303">
        <f t="shared" si="33"/>
        <v>0</v>
      </c>
      <c r="P303" t="str">
        <f t="shared" si="34"/>
        <v>None</v>
      </c>
      <c r="Q303" t="s">
        <v>124</v>
      </c>
    </row>
    <row r="304" spans="1:17" x14ac:dyDescent="0.3">
      <c r="A304">
        <v>303</v>
      </c>
      <c r="B304" t="s">
        <v>19</v>
      </c>
      <c r="C304" s="1">
        <v>45778</v>
      </c>
      <c r="D304" t="s">
        <v>28</v>
      </c>
      <c r="E304" t="s">
        <v>33</v>
      </c>
      <c r="F304" s="2" t="s">
        <v>37</v>
      </c>
      <c r="G304" t="str">
        <f t="shared" si="30"/>
        <v>Oudgasm Tobacco Oud 04-USA</v>
      </c>
      <c r="H304">
        <f t="shared" si="31"/>
        <v>2052</v>
      </c>
      <c r="I304">
        <f>VLOOKUP(G304,Table4[[SKU-COUNTRY2]:[Price in USD]],2,FALSE)</f>
        <v>140</v>
      </c>
      <c r="J304">
        <f>VLOOKUP(G304,Sheet3!$C$82:$I$100,MATCH(E304,Sheet3!C$82:H$82,0),FALSE) * VLOOKUP(C304,Table8[],2,0)</f>
        <v>287280</v>
      </c>
      <c r="K304">
        <f>ROUND(J304*VLOOKUP(F304,Sheet3!$A$106:$C$111,2,FALSE),0)</f>
        <v>100548</v>
      </c>
      <c r="L304">
        <f t="shared" si="28"/>
        <v>186732</v>
      </c>
      <c r="M304">
        <f t="shared" si="29"/>
        <v>65</v>
      </c>
      <c r="N304" t="str">
        <f t="shared" si="32"/>
        <v>No</v>
      </c>
      <c r="O304">
        <f t="shared" si="33"/>
        <v>0</v>
      </c>
      <c r="P304" t="str">
        <f t="shared" si="34"/>
        <v>None</v>
      </c>
      <c r="Q304" t="s">
        <v>124</v>
      </c>
    </row>
    <row r="305" spans="1:17" x14ac:dyDescent="0.3">
      <c r="A305">
        <v>304</v>
      </c>
      <c r="B305" t="s">
        <v>19</v>
      </c>
      <c r="C305" s="1">
        <v>45778</v>
      </c>
      <c r="D305" t="s">
        <v>28</v>
      </c>
      <c r="E305" t="s">
        <v>33</v>
      </c>
      <c r="F305" s="2" t="s">
        <v>38</v>
      </c>
      <c r="G305" t="str">
        <f t="shared" si="30"/>
        <v>Yum Pistachio Gelato 33-USA</v>
      </c>
      <c r="H305">
        <f t="shared" si="31"/>
        <v>1824</v>
      </c>
      <c r="I305">
        <f>VLOOKUP(G305,Table4[[SKU-COUNTRY2]:[Price in USD]],2,FALSE)</f>
        <v>105</v>
      </c>
      <c r="J305">
        <f>VLOOKUP(G305,Sheet3!$C$82:$I$100,MATCH(E305,Sheet3!C$82:H$82,0),FALSE) * VLOOKUP(C305,Table8[],2,0)</f>
        <v>191520</v>
      </c>
      <c r="K305">
        <f>ROUND(J305*VLOOKUP(F305,Sheet3!$A$106:$C$111,2,FALSE),0)</f>
        <v>59371</v>
      </c>
      <c r="L305">
        <f t="shared" si="28"/>
        <v>132149</v>
      </c>
      <c r="M305">
        <f t="shared" si="29"/>
        <v>69</v>
      </c>
      <c r="N305" t="str">
        <f t="shared" si="32"/>
        <v>No</v>
      </c>
      <c r="O305">
        <f t="shared" si="33"/>
        <v>0</v>
      </c>
      <c r="P305" t="str">
        <f t="shared" si="34"/>
        <v>None</v>
      </c>
      <c r="Q305" t="s">
        <v>124</v>
      </c>
    </row>
    <row r="306" spans="1:17" x14ac:dyDescent="0.3">
      <c r="A306">
        <v>305</v>
      </c>
      <c r="B306" t="s">
        <v>19</v>
      </c>
      <c r="C306" s="1">
        <v>45778</v>
      </c>
      <c r="D306" t="s">
        <v>28</v>
      </c>
      <c r="E306" t="s">
        <v>33</v>
      </c>
      <c r="F306" s="2" t="s">
        <v>39</v>
      </c>
      <c r="G306" t="str">
        <f t="shared" si="30"/>
        <v>Freedom Musk Santal 34-USA</v>
      </c>
      <c r="H306">
        <f t="shared" si="31"/>
        <v>1520</v>
      </c>
      <c r="I306">
        <f>VLOOKUP(G306,Table4[[SKU-COUNTRY2]:[Price in USD]],2,FALSE)</f>
        <v>105</v>
      </c>
      <c r="J306">
        <f>VLOOKUP(G306,Sheet3!$C$82:$I$100,MATCH(E306,Sheet3!C$82:H$82,0),FALSE) * VLOOKUP(C306,Table8[],2,0)</f>
        <v>159600</v>
      </c>
      <c r="K306">
        <f>ROUND(J306*VLOOKUP(F306,Sheet3!$A$106:$C$111,2,FALSE),0)</f>
        <v>51072</v>
      </c>
      <c r="L306">
        <f t="shared" si="28"/>
        <v>108528</v>
      </c>
      <c r="M306">
        <f t="shared" si="29"/>
        <v>68</v>
      </c>
      <c r="N306" t="str">
        <f t="shared" si="32"/>
        <v>No</v>
      </c>
      <c r="O306">
        <f t="shared" si="33"/>
        <v>0</v>
      </c>
      <c r="P306" t="str">
        <f t="shared" si="34"/>
        <v>None</v>
      </c>
      <c r="Q306" t="s">
        <v>124</v>
      </c>
    </row>
    <row r="307" spans="1:17" x14ac:dyDescent="0.3">
      <c r="A307">
        <v>306</v>
      </c>
      <c r="B307" t="s">
        <v>19</v>
      </c>
      <c r="C307" s="1">
        <v>45778</v>
      </c>
      <c r="D307" t="s">
        <v>28</v>
      </c>
      <c r="E307" t="s">
        <v>33</v>
      </c>
      <c r="F307" s="2" t="s">
        <v>40</v>
      </c>
      <c r="G307" t="str">
        <f t="shared" si="30"/>
        <v>Musk 12-USA</v>
      </c>
      <c r="H307">
        <f t="shared" si="31"/>
        <v>760</v>
      </c>
      <c r="I307">
        <f>VLOOKUP(G307,Table4[[SKU-COUNTRY2]:[Price in USD]],2,FALSE)</f>
        <v>105</v>
      </c>
      <c r="J307">
        <f>VLOOKUP(G307,Sheet3!$C$82:$I$100,MATCH(E307,Sheet3!C$82:H$82,0),FALSE) * VLOOKUP(C307,Table8[],2,0)</f>
        <v>79800</v>
      </c>
      <c r="K307">
        <f>ROUND(J307*VLOOKUP(F307,Sheet3!$A$106:$C$111,2,FALSE),0)</f>
        <v>23940</v>
      </c>
      <c r="L307">
        <f t="shared" si="28"/>
        <v>55860</v>
      </c>
      <c r="M307">
        <f t="shared" si="29"/>
        <v>70</v>
      </c>
      <c r="N307" t="str">
        <f t="shared" si="32"/>
        <v>No</v>
      </c>
      <c r="O307">
        <f t="shared" si="33"/>
        <v>0</v>
      </c>
      <c r="P307" t="str">
        <f t="shared" si="34"/>
        <v>None</v>
      </c>
      <c r="Q307" t="s">
        <v>124</v>
      </c>
    </row>
    <row r="308" spans="1:17" x14ac:dyDescent="0.3">
      <c r="A308">
        <v>307</v>
      </c>
      <c r="B308" t="s">
        <v>19</v>
      </c>
      <c r="C308" s="1">
        <v>45778</v>
      </c>
      <c r="D308" t="s">
        <v>28</v>
      </c>
      <c r="E308" t="s">
        <v>34</v>
      </c>
      <c r="F308" s="2" t="s">
        <v>35</v>
      </c>
      <c r="G308" t="str">
        <f t="shared" si="30"/>
        <v>Vanilla 28-USA</v>
      </c>
      <c r="H308">
        <f t="shared" si="31"/>
        <v>3547</v>
      </c>
      <c r="I308">
        <f>VLOOKUP(G308,Table4[[SKU-COUNTRY2]:[Price in USD]],2,FALSE)</f>
        <v>105</v>
      </c>
      <c r="J308">
        <f>VLOOKUP(G308,Sheet3!$C$82:$I$100,MATCH(E308,Sheet3!C$82:H$82,0),FALSE) * VLOOKUP(C308,Table8[],2,0)</f>
        <v>372400</v>
      </c>
      <c r="K308">
        <f>ROUND(J308*VLOOKUP(F308,Sheet3!$A$106:$C$111,2,FALSE),0)</f>
        <v>111720</v>
      </c>
      <c r="L308">
        <f t="shared" si="28"/>
        <v>260680</v>
      </c>
      <c r="M308">
        <f t="shared" si="29"/>
        <v>70</v>
      </c>
      <c r="N308" t="str">
        <f t="shared" si="32"/>
        <v>No</v>
      </c>
      <c r="O308">
        <f t="shared" si="33"/>
        <v>0</v>
      </c>
      <c r="P308" t="str">
        <f t="shared" si="34"/>
        <v>None</v>
      </c>
      <c r="Q308" t="s">
        <v>124</v>
      </c>
    </row>
    <row r="309" spans="1:17" x14ac:dyDescent="0.3">
      <c r="A309">
        <v>308</v>
      </c>
      <c r="B309" t="s">
        <v>19</v>
      </c>
      <c r="C309" s="1">
        <v>45778</v>
      </c>
      <c r="D309" t="s">
        <v>28</v>
      </c>
      <c r="E309" t="s">
        <v>34</v>
      </c>
      <c r="F309" s="2" t="s">
        <v>36</v>
      </c>
      <c r="G309" t="str">
        <f t="shared" si="30"/>
        <v>Eden Juicy Apple 01-USA</v>
      </c>
      <c r="H309">
        <f t="shared" si="31"/>
        <v>2027</v>
      </c>
      <c r="I309">
        <f>VLOOKUP(G309,Table4[[SKU-COUNTRY2]:[Price in USD]],2,FALSE)</f>
        <v>105</v>
      </c>
      <c r="J309">
        <f>VLOOKUP(G309,Sheet3!$C$82:$I$100,MATCH(E309,Sheet3!C$82:H$82,0),FALSE) * VLOOKUP(C309,Table8[],2,0)</f>
        <v>212800</v>
      </c>
      <c r="K309">
        <f>ROUND(J309*VLOOKUP(F309,Sheet3!$A$106:$C$111,2,FALSE),0)</f>
        <v>65968</v>
      </c>
      <c r="L309">
        <f t="shared" si="28"/>
        <v>146832</v>
      </c>
      <c r="M309">
        <f t="shared" si="29"/>
        <v>69</v>
      </c>
      <c r="N309" t="str">
        <f t="shared" si="32"/>
        <v>No</v>
      </c>
      <c r="O309">
        <f t="shared" si="33"/>
        <v>0</v>
      </c>
      <c r="P309" t="str">
        <f t="shared" si="34"/>
        <v>None</v>
      </c>
      <c r="Q309" t="s">
        <v>124</v>
      </c>
    </row>
    <row r="310" spans="1:17" x14ac:dyDescent="0.3">
      <c r="A310">
        <v>309</v>
      </c>
      <c r="B310" t="s">
        <v>19</v>
      </c>
      <c r="C310" s="1">
        <v>45778</v>
      </c>
      <c r="D310" t="s">
        <v>28</v>
      </c>
      <c r="E310" t="s">
        <v>34</v>
      </c>
      <c r="F310" s="2" t="s">
        <v>37</v>
      </c>
      <c r="G310" t="str">
        <f t="shared" si="30"/>
        <v>Oudgasm Tobacco Oud 04-USA</v>
      </c>
      <c r="H310">
        <f t="shared" si="31"/>
        <v>1368</v>
      </c>
      <c r="I310">
        <f>VLOOKUP(G310,Table4[[SKU-COUNTRY2]:[Price in USD]],2,FALSE)</f>
        <v>140</v>
      </c>
      <c r="J310">
        <f>VLOOKUP(G310,Sheet3!$C$82:$I$100,MATCH(E310,Sheet3!C$82:H$82,0),FALSE) * VLOOKUP(C310,Table8[],2,0)</f>
        <v>191520</v>
      </c>
      <c r="K310">
        <f>ROUND(J310*VLOOKUP(F310,Sheet3!$A$106:$C$111,2,FALSE),0)</f>
        <v>67032</v>
      </c>
      <c r="L310">
        <f t="shared" si="28"/>
        <v>124488</v>
      </c>
      <c r="M310">
        <f t="shared" si="29"/>
        <v>65</v>
      </c>
      <c r="N310" t="str">
        <f t="shared" si="32"/>
        <v>No</v>
      </c>
      <c r="O310">
        <f t="shared" si="33"/>
        <v>0</v>
      </c>
      <c r="P310" t="str">
        <f t="shared" si="34"/>
        <v>None</v>
      </c>
      <c r="Q310" t="s">
        <v>124</v>
      </c>
    </row>
    <row r="311" spans="1:17" x14ac:dyDescent="0.3">
      <c r="A311">
        <v>310</v>
      </c>
      <c r="B311" t="s">
        <v>19</v>
      </c>
      <c r="C311" s="1">
        <v>45778</v>
      </c>
      <c r="D311" t="s">
        <v>28</v>
      </c>
      <c r="E311" t="s">
        <v>34</v>
      </c>
      <c r="F311" s="2" t="s">
        <v>38</v>
      </c>
      <c r="G311" t="str">
        <f t="shared" si="30"/>
        <v>Yum Pistachio Gelato 33-USA</v>
      </c>
      <c r="H311">
        <f t="shared" si="31"/>
        <v>1216</v>
      </c>
      <c r="I311">
        <f>VLOOKUP(G311,Table4[[SKU-COUNTRY2]:[Price in USD]],2,FALSE)</f>
        <v>105</v>
      </c>
      <c r="J311">
        <f>VLOOKUP(G311,Sheet3!$C$82:$I$100,MATCH(E311,Sheet3!C$82:H$82,0),FALSE) * VLOOKUP(C311,Table8[],2,0)</f>
        <v>127680</v>
      </c>
      <c r="K311">
        <f>ROUND(J311*VLOOKUP(F311,Sheet3!$A$106:$C$111,2,FALSE),0)</f>
        <v>39581</v>
      </c>
      <c r="L311">
        <f t="shared" si="28"/>
        <v>88099</v>
      </c>
      <c r="M311">
        <f t="shared" si="29"/>
        <v>69</v>
      </c>
      <c r="N311" t="str">
        <f t="shared" si="32"/>
        <v>No</v>
      </c>
      <c r="O311">
        <f t="shared" si="33"/>
        <v>0</v>
      </c>
      <c r="P311" t="str">
        <f t="shared" si="34"/>
        <v>None</v>
      </c>
      <c r="Q311" t="s">
        <v>124</v>
      </c>
    </row>
    <row r="312" spans="1:17" x14ac:dyDescent="0.3">
      <c r="A312">
        <v>311</v>
      </c>
      <c r="B312" t="s">
        <v>19</v>
      </c>
      <c r="C312" s="1">
        <v>45778</v>
      </c>
      <c r="D312" t="s">
        <v>28</v>
      </c>
      <c r="E312" t="s">
        <v>34</v>
      </c>
      <c r="F312" s="2" t="s">
        <v>39</v>
      </c>
      <c r="G312" t="str">
        <f t="shared" si="30"/>
        <v>Freedom Musk Santal 34-USA</v>
      </c>
      <c r="H312">
        <f t="shared" si="31"/>
        <v>1013</v>
      </c>
      <c r="I312">
        <f>VLOOKUP(G312,Table4[[SKU-COUNTRY2]:[Price in USD]],2,FALSE)</f>
        <v>105</v>
      </c>
      <c r="J312">
        <f>VLOOKUP(G312,Sheet3!$C$82:$I$100,MATCH(E312,Sheet3!C$82:H$82,0),FALSE) * VLOOKUP(C312,Table8[],2,0)</f>
        <v>106400</v>
      </c>
      <c r="K312">
        <f>ROUND(J312*VLOOKUP(F312,Sheet3!$A$106:$C$111,2,FALSE),0)</f>
        <v>34048</v>
      </c>
      <c r="L312">
        <f t="shared" si="28"/>
        <v>72352</v>
      </c>
      <c r="M312">
        <f t="shared" si="29"/>
        <v>68</v>
      </c>
      <c r="N312" t="str">
        <f t="shared" si="32"/>
        <v>No</v>
      </c>
      <c r="O312">
        <f t="shared" si="33"/>
        <v>0</v>
      </c>
      <c r="P312" t="str">
        <f t="shared" si="34"/>
        <v>None</v>
      </c>
      <c r="Q312" t="s">
        <v>124</v>
      </c>
    </row>
    <row r="313" spans="1:17" x14ac:dyDescent="0.3">
      <c r="A313">
        <v>312</v>
      </c>
      <c r="B313" t="s">
        <v>19</v>
      </c>
      <c r="C313" s="1">
        <v>45778</v>
      </c>
      <c r="D313" t="s">
        <v>28</v>
      </c>
      <c r="E313" t="s">
        <v>34</v>
      </c>
      <c r="F313" s="2" t="s">
        <v>40</v>
      </c>
      <c r="G313" t="str">
        <f t="shared" si="30"/>
        <v>Musk 12-USA</v>
      </c>
      <c r="H313">
        <f t="shared" si="31"/>
        <v>507</v>
      </c>
      <c r="I313">
        <f>VLOOKUP(G313,Table4[[SKU-COUNTRY2]:[Price in USD]],2,FALSE)</f>
        <v>105</v>
      </c>
      <c r="J313">
        <f>VLOOKUP(G313,Sheet3!$C$82:$I$100,MATCH(E313,Sheet3!C$82:H$82,0),FALSE) * VLOOKUP(C313,Table8[],2,0)</f>
        <v>53200</v>
      </c>
      <c r="K313">
        <f>ROUND(J313*VLOOKUP(F313,Sheet3!$A$106:$C$111,2,FALSE),0)</f>
        <v>15960</v>
      </c>
      <c r="L313">
        <f t="shared" si="28"/>
        <v>37240</v>
      </c>
      <c r="M313">
        <f t="shared" si="29"/>
        <v>70</v>
      </c>
      <c r="N313" t="str">
        <f t="shared" si="32"/>
        <v>No</v>
      </c>
      <c r="O313">
        <f t="shared" si="33"/>
        <v>0</v>
      </c>
      <c r="P313" t="str">
        <f t="shared" si="34"/>
        <v>None</v>
      </c>
      <c r="Q313" t="s">
        <v>124</v>
      </c>
    </row>
    <row r="314" spans="1:17" x14ac:dyDescent="0.3">
      <c r="A314">
        <v>313</v>
      </c>
      <c r="B314" t="s">
        <v>19</v>
      </c>
      <c r="C314" s="1">
        <v>45778</v>
      </c>
      <c r="D314" t="s">
        <v>27</v>
      </c>
      <c r="E314" t="s">
        <v>32</v>
      </c>
      <c r="F314" s="2" t="s">
        <v>35</v>
      </c>
      <c r="G314" t="str">
        <f t="shared" si="30"/>
        <v>Vanilla 28-UK</v>
      </c>
      <c r="H314">
        <f t="shared" si="31"/>
        <v>2244</v>
      </c>
      <c r="I314">
        <f>VLOOKUP(G314,Table4[[SKU-COUNTRY2]:[Price in USD]],2,FALSE)</f>
        <v>101.6</v>
      </c>
      <c r="J314">
        <f>VLOOKUP(G314,Sheet3!$C$82:$I$100,MATCH(E314,Sheet3!C$82:H$82,0),FALSE) * VLOOKUP(C314,Table8[],2,0)</f>
        <v>228000</v>
      </c>
      <c r="K314">
        <f>ROUND(J314*VLOOKUP(F314,Sheet3!$A$106:$C$111,2,FALSE),0)</f>
        <v>68400</v>
      </c>
      <c r="L314">
        <f t="shared" si="28"/>
        <v>159600</v>
      </c>
      <c r="M314">
        <f t="shared" si="29"/>
        <v>70</v>
      </c>
      <c r="N314" t="str">
        <f t="shared" si="32"/>
        <v>No</v>
      </c>
      <c r="O314">
        <f t="shared" si="33"/>
        <v>0</v>
      </c>
      <c r="P314" t="str">
        <f t="shared" si="34"/>
        <v>None</v>
      </c>
      <c r="Q314" t="s">
        <v>124</v>
      </c>
    </row>
    <row r="315" spans="1:17" x14ac:dyDescent="0.3">
      <c r="A315">
        <v>314</v>
      </c>
      <c r="B315" t="s">
        <v>19</v>
      </c>
      <c r="C315" s="1">
        <v>45778</v>
      </c>
      <c r="D315" t="s">
        <v>27</v>
      </c>
      <c r="E315" t="s">
        <v>32</v>
      </c>
      <c r="F315" s="2" t="s">
        <v>36</v>
      </c>
      <c r="G315" t="str">
        <f t="shared" si="30"/>
        <v>Eden Juicy Apple 01-UK</v>
      </c>
      <c r="H315">
        <f t="shared" si="31"/>
        <v>1646</v>
      </c>
      <c r="I315">
        <f>VLOOKUP(G315,Table4[[SKU-COUNTRY2]:[Price in USD]],2,FALSE)</f>
        <v>101.6</v>
      </c>
      <c r="J315">
        <f>VLOOKUP(G315,Sheet3!$C$82:$I$100,MATCH(E315,Sheet3!C$82:H$82,0),FALSE) * VLOOKUP(C315,Table8[],2,0)</f>
        <v>167200</v>
      </c>
      <c r="K315">
        <f>ROUND(J315*VLOOKUP(F315,Sheet3!$A$106:$C$111,2,FALSE),0)</f>
        <v>51832</v>
      </c>
      <c r="L315">
        <f t="shared" si="28"/>
        <v>115368</v>
      </c>
      <c r="M315">
        <f t="shared" si="29"/>
        <v>69</v>
      </c>
      <c r="N315" t="str">
        <f t="shared" si="32"/>
        <v>No</v>
      </c>
      <c r="O315">
        <f t="shared" si="33"/>
        <v>0</v>
      </c>
      <c r="P315" t="str">
        <f t="shared" si="34"/>
        <v>None</v>
      </c>
      <c r="Q315" t="s">
        <v>124</v>
      </c>
    </row>
    <row r="316" spans="1:17" x14ac:dyDescent="0.3">
      <c r="A316">
        <v>315</v>
      </c>
      <c r="B316" t="s">
        <v>19</v>
      </c>
      <c r="C316" s="1">
        <v>45778</v>
      </c>
      <c r="D316" t="s">
        <v>27</v>
      </c>
      <c r="E316" t="s">
        <v>32</v>
      </c>
      <c r="F316" s="2" t="s">
        <v>37</v>
      </c>
      <c r="G316" t="str">
        <f t="shared" si="30"/>
        <v>Oudgasm Tobacco Oud 04-UK</v>
      </c>
      <c r="H316">
        <f t="shared" si="31"/>
        <v>905</v>
      </c>
      <c r="I316">
        <f>VLOOKUP(G316,Table4[[SKU-COUNTRY2]:[Price in USD]],2,FALSE)</f>
        <v>151.13</v>
      </c>
      <c r="J316">
        <f>VLOOKUP(G316,Sheet3!$C$82:$I$100,MATCH(E316,Sheet3!C$82:H$82,0),FALSE) * VLOOKUP(C316,Table8[],2,0)</f>
        <v>136800</v>
      </c>
      <c r="K316">
        <f>ROUND(J316*VLOOKUP(F316,Sheet3!$A$106:$C$111,2,FALSE),0)</f>
        <v>47880</v>
      </c>
      <c r="L316">
        <f t="shared" si="28"/>
        <v>88920</v>
      </c>
      <c r="M316">
        <f t="shared" si="29"/>
        <v>65</v>
      </c>
      <c r="N316" t="str">
        <f t="shared" si="32"/>
        <v>No</v>
      </c>
      <c r="O316">
        <f t="shared" si="33"/>
        <v>0</v>
      </c>
      <c r="P316" t="str">
        <f t="shared" si="34"/>
        <v>None</v>
      </c>
      <c r="Q316" t="s">
        <v>124</v>
      </c>
    </row>
    <row r="317" spans="1:17" x14ac:dyDescent="0.3">
      <c r="A317">
        <v>316</v>
      </c>
      <c r="B317" t="s">
        <v>19</v>
      </c>
      <c r="C317" s="1">
        <v>45778</v>
      </c>
      <c r="D317" t="s">
        <v>27</v>
      </c>
      <c r="E317" t="s">
        <v>32</v>
      </c>
      <c r="F317" s="2" t="s">
        <v>38</v>
      </c>
      <c r="G317" t="str">
        <f t="shared" si="30"/>
        <v>Yum Pistachio Gelato 33-UK</v>
      </c>
      <c r="H317">
        <f t="shared" si="31"/>
        <v>972</v>
      </c>
      <c r="I317">
        <f>VLOOKUP(G317,Table4[[SKU-COUNTRY2]:[Price in USD]],2,FALSE)</f>
        <v>101.6</v>
      </c>
      <c r="J317">
        <f>VLOOKUP(G317,Sheet3!$C$82:$I$100,MATCH(E317,Sheet3!C$82:H$82,0),FALSE) * VLOOKUP(C317,Table8[],2,0)</f>
        <v>98800</v>
      </c>
      <c r="K317">
        <f>ROUND(J317*VLOOKUP(F317,Sheet3!$A$106:$C$111,2,FALSE),0)</f>
        <v>30628</v>
      </c>
      <c r="L317">
        <f t="shared" si="28"/>
        <v>68172</v>
      </c>
      <c r="M317">
        <f t="shared" si="29"/>
        <v>69</v>
      </c>
      <c r="N317" t="str">
        <f t="shared" si="32"/>
        <v>No</v>
      </c>
      <c r="O317">
        <f t="shared" si="33"/>
        <v>0</v>
      </c>
      <c r="P317" t="str">
        <f t="shared" si="34"/>
        <v>None</v>
      </c>
      <c r="Q317" t="s">
        <v>124</v>
      </c>
    </row>
    <row r="318" spans="1:17" x14ac:dyDescent="0.3">
      <c r="A318">
        <v>317</v>
      </c>
      <c r="B318" t="s">
        <v>19</v>
      </c>
      <c r="C318" s="1">
        <v>45778</v>
      </c>
      <c r="D318" t="s">
        <v>27</v>
      </c>
      <c r="E318" t="s">
        <v>32</v>
      </c>
      <c r="F318" s="2" t="s">
        <v>39</v>
      </c>
      <c r="G318" t="str">
        <f t="shared" si="30"/>
        <v>Freedom Musk Santal 34-UK</v>
      </c>
      <c r="H318">
        <f t="shared" si="31"/>
        <v>748</v>
      </c>
      <c r="I318">
        <f>VLOOKUP(G318,Table4[[SKU-COUNTRY2]:[Price in USD]],2,FALSE)</f>
        <v>101.6</v>
      </c>
      <c r="J318">
        <f>VLOOKUP(G318,Sheet3!$C$82:$I$100,MATCH(E318,Sheet3!C$82:H$82,0),FALSE) * VLOOKUP(C318,Table8[],2,0)</f>
        <v>76000</v>
      </c>
      <c r="K318">
        <f>ROUND(J318*VLOOKUP(F318,Sheet3!$A$106:$C$111,2,FALSE),0)</f>
        <v>24320</v>
      </c>
      <c r="L318">
        <f t="shared" si="28"/>
        <v>51680</v>
      </c>
      <c r="M318">
        <f t="shared" si="29"/>
        <v>68</v>
      </c>
      <c r="N318" t="str">
        <f t="shared" si="32"/>
        <v>No</v>
      </c>
      <c r="O318">
        <f t="shared" si="33"/>
        <v>0</v>
      </c>
      <c r="P318" t="str">
        <f t="shared" si="34"/>
        <v>None</v>
      </c>
      <c r="Q318" t="s">
        <v>124</v>
      </c>
    </row>
    <row r="319" spans="1:17" x14ac:dyDescent="0.3">
      <c r="A319">
        <v>318</v>
      </c>
      <c r="B319" t="s">
        <v>19</v>
      </c>
      <c r="C319" s="1">
        <v>45778</v>
      </c>
      <c r="D319" t="s">
        <v>27</v>
      </c>
      <c r="E319" t="s">
        <v>32</v>
      </c>
      <c r="F319" s="2" t="s">
        <v>40</v>
      </c>
      <c r="G319" t="str">
        <f t="shared" si="30"/>
        <v>Musk 12-UK</v>
      </c>
      <c r="H319">
        <f t="shared" si="31"/>
        <v>524</v>
      </c>
      <c r="I319">
        <f>VLOOKUP(G319,Table4[[SKU-COUNTRY2]:[Price in USD]],2,FALSE)</f>
        <v>101.6</v>
      </c>
      <c r="J319">
        <f>VLOOKUP(G319,Sheet3!$C$82:$I$100,MATCH(E319,Sheet3!C$82:H$82,0),FALSE) * VLOOKUP(C319,Table8[],2,0)</f>
        <v>53200.000000000007</v>
      </c>
      <c r="K319">
        <f>ROUND(J319*VLOOKUP(F319,Sheet3!$A$106:$C$111,2,FALSE),0)</f>
        <v>15960</v>
      </c>
      <c r="L319">
        <f t="shared" si="28"/>
        <v>37240.000000000007</v>
      </c>
      <c r="M319">
        <f t="shared" si="29"/>
        <v>70</v>
      </c>
      <c r="N319" t="str">
        <f t="shared" si="32"/>
        <v>No</v>
      </c>
      <c r="O319">
        <f t="shared" si="33"/>
        <v>0</v>
      </c>
      <c r="P319" t="str">
        <f t="shared" si="34"/>
        <v>None</v>
      </c>
      <c r="Q319" t="s">
        <v>124</v>
      </c>
    </row>
    <row r="320" spans="1:17" x14ac:dyDescent="0.3">
      <c r="A320">
        <v>319</v>
      </c>
      <c r="B320" t="s">
        <v>19</v>
      </c>
      <c r="C320" s="1">
        <v>45778</v>
      </c>
      <c r="D320" t="s">
        <v>27</v>
      </c>
      <c r="E320" t="s">
        <v>31</v>
      </c>
      <c r="F320" s="2" t="s">
        <v>35</v>
      </c>
      <c r="G320" t="str">
        <f t="shared" si="30"/>
        <v>Vanilla 28-UK</v>
      </c>
      <c r="H320">
        <f t="shared" si="31"/>
        <v>1122</v>
      </c>
      <c r="I320">
        <f>VLOOKUP(G320,Table4[[SKU-COUNTRY2]:[Price in USD]],2,FALSE)</f>
        <v>101.6</v>
      </c>
      <c r="J320">
        <f>VLOOKUP(G320,Sheet3!$C$82:$I$100,MATCH(E320,Sheet3!C$82:H$82,0),FALSE) * VLOOKUP(C320,Table8[],2,0)</f>
        <v>114000</v>
      </c>
      <c r="K320">
        <f>ROUND(J320*VLOOKUP(F320,Sheet3!$A$106:$C$111,2,FALSE),0)</f>
        <v>34200</v>
      </c>
      <c r="L320">
        <f t="shared" si="28"/>
        <v>79800</v>
      </c>
      <c r="M320">
        <f t="shared" si="29"/>
        <v>70</v>
      </c>
      <c r="N320" t="str">
        <f t="shared" si="32"/>
        <v>No</v>
      </c>
      <c r="O320">
        <f t="shared" si="33"/>
        <v>0</v>
      </c>
      <c r="P320" t="str">
        <f t="shared" si="34"/>
        <v>None</v>
      </c>
      <c r="Q320" t="s">
        <v>124</v>
      </c>
    </row>
    <row r="321" spans="1:17" x14ac:dyDescent="0.3">
      <c r="A321">
        <v>320</v>
      </c>
      <c r="B321" t="s">
        <v>19</v>
      </c>
      <c r="C321" s="1">
        <v>45778</v>
      </c>
      <c r="D321" t="s">
        <v>27</v>
      </c>
      <c r="E321" t="s">
        <v>31</v>
      </c>
      <c r="F321" s="2" t="s">
        <v>36</v>
      </c>
      <c r="G321" t="str">
        <f t="shared" si="30"/>
        <v>Eden Juicy Apple 01-UK</v>
      </c>
      <c r="H321">
        <f t="shared" si="31"/>
        <v>823</v>
      </c>
      <c r="I321">
        <f>VLOOKUP(G321,Table4[[SKU-COUNTRY2]:[Price in USD]],2,FALSE)</f>
        <v>101.6</v>
      </c>
      <c r="J321">
        <f>VLOOKUP(G321,Sheet3!$C$82:$I$100,MATCH(E321,Sheet3!C$82:H$82,0),FALSE) * VLOOKUP(C321,Table8[],2,0)</f>
        <v>83600</v>
      </c>
      <c r="K321">
        <f>ROUND(J321*VLOOKUP(F321,Sheet3!$A$106:$C$111,2,FALSE),0)</f>
        <v>25916</v>
      </c>
      <c r="L321">
        <f t="shared" si="28"/>
        <v>57684</v>
      </c>
      <c r="M321">
        <f t="shared" si="29"/>
        <v>69</v>
      </c>
      <c r="N321" t="str">
        <f t="shared" si="32"/>
        <v>No</v>
      </c>
      <c r="O321">
        <f t="shared" si="33"/>
        <v>0</v>
      </c>
      <c r="P321" t="str">
        <f t="shared" si="34"/>
        <v>None</v>
      </c>
      <c r="Q321" t="s">
        <v>124</v>
      </c>
    </row>
    <row r="322" spans="1:17" x14ac:dyDescent="0.3">
      <c r="A322">
        <v>321</v>
      </c>
      <c r="B322" t="s">
        <v>19</v>
      </c>
      <c r="C322" s="1">
        <v>45778</v>
      </c>
      <c r="D322" t="s">
        <v>27</v>
      </c>
      <c r="E322" t="s">
        <v>31</v>
      </c>
      <c r="F322" s="2" t="s">
        <v>37</v>
      </c>
      <c r="G322" t="str">
        <f t="shared" si="30"/>
        <v>Oudgasm Tobacco Oud 04-UK</v>
      </c>
      <c r="H322">
        <f t="shared" si="31"/>
        <v>453</v>
      </c>
      <c r="I322">
        <f>VLOOKUP(G322,Table4[[SKU-COUNTRY2]:[Price in USD]],2,FALSE)</f>
        <v>151.13</v>
      </c>
      <c r="J322">
        <f>VLOOKUP(G322,Sheet3!$C$82:$I$100,MATCH(E322,Sheet3!C$82:H$82,0),FALSE) * VLOOKUP(C322,Table8[],2,0)</f>
        <v>68400</v>
      </c>
      <c r="K322">
        <f>ROUND(J322*VLOOKUP(F322,Sheet3!$A$106:$C$111,2,FALSE),0)</f>
        <v>23940</v>
      </c>
      <c r="L322">
        <f t="shared" ref="L322:L385" si="35">J322-K322</f>
        <v>44460</v>
      </c>
      <c r="M322">
        <f t="shared" ref="M322:M385" si="36">ROUND(L322/J322*100, 1)</f>
        <v>65</v>
      </c>
      <c r="N322" t="str">
        <f t="shared" si="32"/>
        <v>No</v>
      </c>
      <c r="O322">
        <f t="shared" si="33"/>
        <v>0</v>
      </c>
      <c r="P322" t="str">
        <f t="shared" si="34"/>
        <v>None</v>
      </c>
      <c r="Q322" t="s">
        <v>124</v>
      </c>
    </row>
    <row r="323" spans="1:17" x14ac:dyDescent="0.3">
      <c r="A323">
        <v>322</v>
      </c>
      <c r="B323" t="s">
        <v>19</v>
      </c>
      <c r="C323" s="1">
        <v>45778</v>
      </c>
      <c r="D323" t="s">
        <v>27</v>
      </c>
      <c r="E323" t="s">
        <v>31</v>
      </c>
      <c r="F323" s="2" t="s">
        <v>38</v>
      </c>
      <c r="G323" t="str">
        <f t="shared" ref="G323:G386" si="37">_xlfn.CONCAT(F323,"-",D323,)</f>
        <v>Yum Pistachio Gelato 33-UK</v>
      </c>
      <c r="H323">
        <f t="shared" ref="H323:H386" si="38">ROUND(J323/I323,0)</f>
        <v>486</v>
      </c>
      <c r="I323">
        <f>VLOOKUP(G323,Table4[[SKU-COUNTRY2]:[Price in USD]],2,FALSE)</f>
        <v>101.6</v>
      </c>
      <c r="J323">
        <f>VLOOKUP(G323,Sheet3!$C$82:$I$100,MATCH(E323,Sheet3!C$82:H$82,0),FALSE) * VLOOKUP(C323,Table8[],2,0)</f>
        <v>49400</v>
      </c>
      <c r="K323">
        <f>ROUND(J323*VLOOKUP(F323,Sheet3!$A$106:$C$111,2,FALSE),0)</f>
        <v>15314</v>
      </c>
      <c r="L323">
        <f t="shared" si="35"/>
        <v>34086</v>
      </c>
      <c r="M323">
        <f t="shared" si="36"/>
        <v>69</v>
      </c>
      <c r="N323" t="str">
        <f t="shared" ref="N323:N386" si="39">IF(OR(
    MONTH(C323)=2,
    AND(MONTH(C323)=3, D323="UAE"),
    AND(MONTH(C323)=6, D323="UAE"),
    AND(MONTH(C323)=7, OR(D323="USA", D323="UK")),
    MONTH(C323)=9,
    AND(MONTH(C323)=11, OR(D323="USA", D323="UK"))
), "Yes", "No")</f>
        <v>No</v>
      </c>
      <c r="O323">
        <f t="shared" ref="O323:O386" si="40">IF(MONTH(C323)=2, 15,
IF(AND(MONTH(C323)=3, D323="UAE"), 20,
IF(AND(MONTH(C323)=6, D323="UAE"), 15,
IF(AND(MONTH(C323)=7, OR(D323="USA", D323="UK")), 20,
IF(AND(MONTH(C323)=11, OR(D323="USA", D323="UK")), 25,
0)))))</f>
        <v>0</v>
      </c>
      <c r="P323" t="str">
        <f t="shared" ref="P323:P386" si="41">IF(MONTH(C323)=2, "Valentine's Day",
IF(AND(MONTH(C323)=3, D323="UAE"), "Eid Al Fitr",
IF(AND(MONTH(C323)=6, D323="UAE"), "Eid Al Adha",
IF(AND(MONTH(C323)=7, OR(D323="USA", D323="UK")), "Summer Sale",
IF(MONTH(C323)=9, "Freedom Launch",
IF(AND(MONTH(C323)=11, OR(D323="USA", D323="UK")), "Black Friday",
"None"))))))</f>
        <v>None</v>
      </c>
      <c r="Q323" t="s">
        <v>124</v>
      </c>
    </row>
    <row r="324" spans="1:17" x14ac:dyDescent="0.3">
      <c r="A324">
        <v>323</v>
      </c>
      <c r="B324" t="s">
        <v>19</v>
      </c>
      <c r="C324" s="1">
        <v>45778</v>
      </c>
      <c r="D324" t="s">
        <v>27</v>
      </c>
      <c r="E324" t="s">
        <v>31</v>
      </c>
      <c r="F324" s="2" t="s">
        <v>39</v>
      </c>
      <c r="G324" t="str">
        <f t="shared" si="37"/>
        <v>Freedom Musk Santal 34-UK</v>
      </c>
      <c r="H324">
        <f t="shared" si="38"/>
        <v>374</v>
      </c>
      <c r="I324">
        <f>VLOOKUP(G324,Table4[[SKU-COUNTRY2]:[Price in USD]],2,FALSE)</f>
        <v>101.6</v>
      </c>
      <c r="J324">
        <f>VLOOKUP(G324,Sheet3!$C$82:$I$100,MATCH(E324,Sheet3!C$82:H$82,0),FALSE) * VLOOKUP(C324,Table8[],2,0)</f>
        <v>38000</v>
      </c>
      <c r="K324">
        <f>ROUND(J324*VLOOKUP(F324,Sheet3!$A$106:$C$111,2,FALSE),0)</f>
        <v>12160</v>
      </c>
      <c r="L324">
        <f t="shared" si="35"/>
        <v>25840</v>
      </c>
      <c r="M324">
        <f t="shared" si="36"/>
        <v>68</v>
      </c>
      <c r="N324" t="str">
        <f t="shared" si="39"/>
        <v>No</v>
      </c>
      <c r="O324">
        <f t="shared" si="40"/>
        <v>0</v>
      </c>
      <c r="P324" t="str">
        <f t="shared" si="41"/>
        <v>None</v>
      </c>
      <c r="Q324" t="s">
        <v>124</v>
      </c>
    </row>
    <row r="325" spans="1:17" x14ac:dyDescent="0.3">
      <c r="A325">
        <v>324</v>
      </c>
      <c r="B325" t="s">
        <v>19</v>
      </c>
      <c r="C325" s="1">
        <v>45778</v>
      </c>
      <c r="D325" t="s">
        <v>27</v>
      </c>
      <c r="E325" t="s">
        <v>31</v>
      </c>
      <c r="F325" s="2" t="s">
        <v>40</v>
      </c>
      <c r="G325" t="str">
        <f t="shared" si="37"/>
        <v>Musk 12-UK</v>
      </c>
      <c r="H325">
        <f t="shared" si="38"/>
        <v>262</v>
      </c>
      <c r="I325">
        <f>VLOOKUP(G325,Table4[[SKU-COUNTRY2]:[Price in USD]],2,FALSE)</f>
        <v>101.6</v>
      </c>
      <c r="J325">
        <f>VLOOKUP(G325,Sheet3!$C$82:$I$100,MATCH(E325,Sheet3!C$82:H$82,0),FALSE) * VLOOKUP(C325,Table8[],2,0)</f>
        <v>26600.000000000004</v>
      </c>
      <c r="K325">
        <f>ROUND(J325*VLOOKUP(F325,Sheet3!$A$106:$C$111,2,FALSE),0)</f>
        <v>7980</v>
      </c>
      <c r="L325">
        <f t="shared" si="35"/>
        <v>18620.000000000004</v>
      </c>
      <c r="M325">
        <f t="shared" si="36"/>
        <v>70</v>
      </c>
      <c r="N325" t="str">
        <f t="shared" si="39"/>
        <v>No</v>
      </c>
      <c r="O325">
        <f t="shared" si="40"/>
        <v>0</v>
      </c>
      <c r="P325" t="str">
        <f t="shared" si="41"/>
        <v>None</v>
      </c>
      <c r="Q325" t="s">
        <v>124</v>
      </c>
    </row>
    <row r="326" spans="1:17" x14ac:dyDescent="0.3">
      <c r="A326">
        <v>325</v>
      </c>
      <c r="B326" t="s">
        <v>19</v>
      </c>
      <c r="C326" s="1">
        <v>45778</v>
      </c>
      <c r="D326" t="s">
        <v>27</v>
      </c>
      <c r="E326" t="s">
        <v>33</v>
      </c>
      <c r="F326" s="2" t="s">
        <v>35</v>
      </c>
      <c r="G326" t="str">
        <f t="shared" si="37"/>
        <v>Vanilla 28-UK</v>
      </c>
      <c r="H326">
        <f t="shared" si="38"/>
        <v>842</v>
      </c>
      <c r="I326">
        <f>VLOOKUP(G326,Table4[[SKU-COUNTRY2]:[Price in USD]],2,FALSE)</f>
        <v>101.6</v>
      </c>
      <c r="J326">
        <f>VLOOKUP(G326,Sheet3!$C$82:$I$100,MATCH(E326,Sheet3!C$82:H$82,0),FALSE) * VLOOKUP(C326,Table8[],2,0)</f>
        <v>85500</v>
      </c>
      <c r="K326">
        <f>ROUND(J326*VLOOKUP(F326,Sheet3!$A$106:$C$111,2,FALSE),0)</f>
        <v>25650</v>
      </c>
      <c r="L326">
        <f t="shared" si="35"/>
        <v>59850</v>
      </c>
      <c r="M326">
        <f t="shared" si="36"/>
        <v>70</v>
      </c>
      <c r="N326" t="str">
        <f t="shared" si="39"/>
        <v>No</v>
      </c>
      <c r="O326">
        <f t="shared" si="40"/>
        <v>0</v>
      </c>
      <c r="P326" t="str">
        <f t="shared" si="41"/>
        <v>None</v>
      </c>
      <c r="Q326" t="s">
        <v>124</v>
      </c>
    </row>
    <row r="327" spans="1:17" x14ac:dyDescent="0.3">
      <c r="A327">
        <v>326</v>
      </c>
      <c r="B327" t="s">
        <v>19</v>
      </c>
      <c r="C327" s="1">
        <v>45778</v>
      </c>
      <c r="D327" t="s">
        <v>27</v>
      </c>
      <c r="E327" t="s">
        <v>33</v>
      </c>
      <c r="F327" s="2" t="s">
        <v>36</v>
      </c>
      <c r="G327" t="str">
        <f t="shared" si="37"/>
        <v>Eden Juicy Apple 01-UK</v>
      </c>
      <c r="H327">
        <f t="shared" si="38"/>
        <v>617</v>
      </c>
      <c r="I327">
        <f>VLOOKUP(G327,Table4[[SKU-COUNTRY2]:[Price in USD]],2,FALSE)</f>
        <v>101.6</v>
      </c>
      <c r="J327">
        <f>VLOOKUP(G327,Sheet3!$C$82:$I$100,MATCH(E327,Sheet3!C$82:H$82,0),FALSE) * VLOOKUP(C327,Table8[],2,0)</f>
        <v>62700</v>
      </c>
      <c r="K327">
        <f>ROUND(J327*VLOOKUP(F327,Sheet3!$A$106:$C$111,2,FALSE),0)</f>
        <v>19437</v>
      </c>
      <c r="L327">
        <f t="shared" si="35"/>
        <v>43263</v>
      </c>
      <c r="M327">
        <f t="shared" si="36"/>
        <v>69</v>
      </c>
      <c r="N327" t="str">
        <f t="shared" si="39"/>
        <v>No</v>
      </c>
      <c r="O327">
        <f t="shared" si="40"/>
        <v>0</v>
      </c>
      <c r="P327" t="str">
        <f t="shared" si="41"/>
        <v>None</v>
      </c>
      <c r="Q327" t="s">
        <v>124</v>
      </c>
    </row>
    <row r="328" spans="1:17" x14ac:dyDescent="0.3">
      <c r="A328">
        <v>327</v>
      </c>
      <c r="B328" t="s">
        <v>19</v>
      </c>
      <c r="C328" s="1">
        <v>45778</v>
      </c>
      <c r="D328" t="s">
        <v>27</v>
      </c>
      <c r="E328" t="s">
        <v>33</v>
      </c>
      <c r="F328" s="2" t="s">
        <v>37</v>
      </c>
      <c r="G328" t="str">
        <f t="shared" si="37"/>
        <v>Oudgasm Tobacco Oud 04-UK</v>
      </c>
      <c r="H328">
        <f t="shared" si="38"/>
        <v>339</v>
      </c>
      <c r="I328">
        <f>VLOOKUP(G328,Table4[[SKU-COUNTRY2]:[Price in USD]],2,FALSE)</f>
        <v>151.13</v>
      </c>
      <c r="J328">
        <f>VLOOKUP(G328,Sheet3!$C$82:$I$100,MATCH(E328,Sheet3!C$82:H$82,0),FALSE) * VLOOKUP(C328,Table8[],2,0)</f>
        <v>51300</v>
      </c>
      <c r="K328">
        <f>ROUND(J328*VLOOKUP(F328,Sheet3!$A$106:$C$111,2,FALSE),0)</f>
        <v>17955</v>
      </c>
      <c r="L328">
        <f t="shared" si="35"/>
        <v>33345</v>
      </c>
      <c r="M328">
        <f t="shared" si="36"/>
        <v>65</v>
      </c>
      <c r="N328" t="str">
        <f t="shared" si="39"/>
        <v>No</v>
      </c>
      <c r="O328">
        <f t="shared" si="40"/>
        <v>0</v>
      </c>
      <c r="P328" t="str">
        <f t="shared" si="41"/>
        <v>None</v>
      </c>
      <c r="Q328" t="s">
        <v>124</v>
      </c>
    </row>
    <row r="329" spans="1:17" x14ac:dyDescent="0.3">
      <c r="A329">
        <v>328</v>
      </c>
      <c r="B329" t="s">
        <v>19</v>
      </c>
      <c r="C329" s="1">
        <v>45778</v>
      </c>
      <c r="D329" t="s">
        <v>27</v>
      </c>
      <c r="E329" t="s">
        <v>33</v>
      </c>
      <c r="F329" s="2" t="s">
        <v>38</v>
      </c>
      <c r="G329" t="str">
        <f t="shared" si="37"/>
        <v>Yum Pistachio Gelato 33-UK</v>
      </c>
      <c r="H329">
        <f t="shared" si="38"/>
        <v>365</v>
      </c>
      <c r="I329">
        <f>VLOOKUP(G329,Table4[[SKU-COUNTRY2]:[Price in USD]],2,FALSE)</f>
        <v>101.6</v>
      </c>
      <c r="J329">
        <f>VLOOKUP(G329,Sheet3!$C$82:$I$100,MATCH(E329,Sheet3!C$82:H$82,0),FALSE) * VLOOKUP(C329,Table8[],2,0)</f>
        <v>37050</v>
      </c>
      <c r="K329">
        <f>ROUND(J329*VLOOKUP(F329,Sheet3!$A$106:$C$111,2,FALSE),0)</f>
        <v>11486</v>
      </c>
      <c r="L329">
        <f t="shared" si="35"/>
        <v>25564</v>
      </c>
      <c r="M329">
        <f t="shared" si="36"/>
        <v>69</v>
      </c>
      <c r="N329" t="str">
        <f t="shared" si="39"/>
        <v>No</v>
      </c>
      <c r="O329">
        <f t="shared" si="40"/>
        <v>0</v>
      </c>
      <c r="P329" t="str">
        <f t="shared" si="41"/>
        <v>None</v>
      </c>
      <c r="Q329" t="s">
        <v>124</v>
      </c>
    </row>
    <row r="330" spans="1:17" x14ac:dyDescent="0.3">
      <c r="A330">
        <v>329</v>
      </c>
      <c r="B330" t="s">
        <v>19</v>
      </c>
      <c r="C330" s="1">
        <v>45778</v>
      </c>
      <c r="D330" t="s">
        <v>27</v>
      </c>
      <c r="E330" t="s">
        <v>33</v>
      </c>
      <c r="F330" s="2" t="s">
        <v>39</v>
      </c>
      <c r="G330" t="str">
        <f t="shared" si="37"/>
        <v>Freedom Musk Santal 34-UK</v>
      </c>
      <c r="H330">
        <f t="shared" si="38"/>
        <v>281</v>
      </c>
      <c r="I330">
        <f>VLOOKUP(G330,Table4[[SKU-COUNTRY2]:[Price in USD]],2,FALSE)</f>
        <v>101.6</v>
      </c>
      <c r="J330">
        <f>VLOOKUP(G330,Sheet3!$C$82:$I$100,MATCH(E330,Sheet3!C$82:H$82,0),FALSE) * VLOOKUP(C330,Table8[],2,0)</f>
        <v>28500</v>
      </c>
      <c r="K330">
        <f>ROUND(J330*VLOOKUP(F330,Sheet3!$A$106:$C$111,2,FALSE),0)</f>
        <v>9120</v>
      </c>
      <c r="L330">
        <f t="shared" si="35"/>
        <v>19380</v>
      </c>
      <c r="M330">
        <f t="shared" si="36"/>
        <v>68</v>
      </c>
      <c r="N330" t="str">
        <f t="shared" si="39"/>
        <v>No</v>
      </c>
      <c r="O330">
        <f t="shared" si="40"/>
        <v>0</v>
      </c>
      <c r="P330" t="str">
        <f t="shared" si="41"/>
        <v>None</v>
      </c>
      <c r="Q330" t="s">
        <v>124</v>
      </c>
    </row>
    <row r="331" spans="1:17" x14ac:dyDescent="0.3">
      <c r="A331">
        <v>330</v>
      </c>
      <c r="B331" t="s">
        <v>19</v>
      </c>
      <c r="C331" s="1">
        <v>45778</v>
      </c>
      <c r="D331" t="s">
        <v>27</v>
      </c>
      <c r="E331" t="s">
        <v>33</v>
      </c>
      <c r="F331" s="2" t="s">
        <v>40</v>
      </c>
      <c r="G331" t="str">
        <f t="shared" si="37"/>
        <v>Musk 12-UK</v>
      </c>
      <c r="H331">
        <f t="shared" si="38"/>
        <v>196</v>
      </c>
      <c r="I331">
        <f>VLOOKUP(G331,Table4[[SKU-COUNTRY2]:[Price in USD]],2,FALSE)</f>
        <v>101.6</v>
      </c>
      <c r="J331">
        <f>VLOOKUP(G331,Sheet3!$C$82:$I$100,MATCH(E331,Sheet3!C$82:H$82,0),FALSE) * VLOOKUP(C331,Table8[],2,0)</f>
        <v>19950.000000000004</v>
      </c>
      <c r="K331">
        <f>ROUND(J331*VLOOKUP(F331,Sheet3!$A$106:$C$111,2,FALSE),0)</f>
        <v>5985</v>
      </c>
      <c r="L331">
        <f t="shared" si="35"/>
        <v>13965.000000000004</v>
      </c>
      <c r="M331">
        <f t="shared" si="36"/>
        <v>70</v>
      </c>
      <c r="N331" t="str">
        <f t="shared" si="39"/>
        <v>No</v>
      </c>
      <c r="O331">
        <f t="shared" si="40"/>
        <v>0</v>
      </c>
      <c r="P331" t="str">
        <f t="shared" si="41"/>
        <v>None</v>
      </c>
      <c r="Q331" t="s">
        <v>124</v>
      </c>
    </row>
    <row r="332" spans="1:17" x14ac:dyDescent="0.3">
      <c r="A332">
        <v>331</v>
      </c>
      <c r="B332" t="s">
        <v>19</v>
      </c>
      <c r="C332" s="1">
        <v>45778</v>
      </c>
      <c r="D332" t="s">
        <v>27</v>
      </c>
      <c r="E332" t="s">
        <v>34</v>
      </c>
      <c r="F332" s="2" t="s">
        <v>35</v>
      </c>
      <c r="G332" t="str">
        <f t="shared" si="37"/>
        <v>Vanilla 28-UK</v>
      </c>
      <c r="H332">
        <f t="shared" si="38"/>
        <v>1403</v>
      </c>
      <c r="I332">
        <f>VLOOKUP(G332,Table4[[SKU-COUNTRY2]:[Price in USD]],2,FALSE)</f>
        <v>101.6</v>
      </c>
      <c r="J332">
        <f>VLOOKUP(G332,Sheet3!$C$82:$I$100,MATCH(E332,Sheet3!C$82:H$82,0),FALSE) * VLOOKUP(C332,Table8[],2,0)</f>
        <v>142500</v>
      </c>
      <c r="K332">
        <f>ROUND(J332*VLOOKUP(F332,Sheet3!$A$106:$C$111,2,FALSE),0)</f>
        <v>42750</v>
      </c>
      <c r="L332">
        <f t="shared" si="35"/>
        <v>99750</v>
      </c>
      <c r="M332">
        <f t="shared" si="36"/>
        <v>70</v>
      </c>
      <c r="N332" t="str">
        <f t="shared" si="39"/>
        <v>No</v>
      </c>
      <c r="O332">
        <f t="shared" si="40"/>
        <v>0</v>
      </c>
      <c r="P332" t="str">
        <f t="shared" si="41"/>
        <v>None</v>
      </c>
      <c r="Q332" t="s">
        <v>124</v>
      </c>
    </row>
    <row r="333" spans="1:17" x14ac:dyDescent="0.3">
      <c r="A333">
        <v>332</v>
      </c>
      <c r="B333" t="s">
        <v>19</v>
      </c>
      <c r="C333" s="1">
        <v>45778</v>
      </c>
      <c r="D333" t="s">
        <v>27</v>
      </c>
      <c r="E333" t="s">
        <v>34</v>
      </c>
      <c r="F333" s="2" t="s">
        <v>36</v>
      </c>
      <c r="G333" t="str">
        <f t="shared" si="37"/>
        <v>Eden Juicy Apple 01-UK</v>
      </c>
      <c r="H333">
        <f t="shared" si="38"/>
        <v>1029</v>
      </c>
      <c r="I333">
        <f>VLOOKUP(G333,Table4[[SKU-COUNTRY2]:[Price in USD]],2,FALSE)</f>
        <v>101.6</v>
      </c>
      <c r="J333">
        <f>VLOOKUP(G333,Sheet3!$C$82:$I$100,MATCH(E333,Sheet3!C$82:H$82,0),FALSE) * VLOOKUP(C333,Table8[],2,0)</f>
        <v>104500</v>
      </c>
      <c r="K333">
        <f>ROUND(J333*VLOOKUP(F333,Sheet3!$A$106:$C$111,2,FALSE),0)</f>
        <v>32395</v>
      </c>
      <c r="L333">
        <f t="shared" si="35"/>
        <v>72105</v>
      </c>
      <c r="M333">
        <f t="shared" si="36"/>
        <v>69</v>
      </c>
      <c r="N333" t="str">
        <f t="shared" si="39"/>
        <v>No</v>
      </c>
      <c r="O333">
        <f t="shared" si="40"/>
        <v>0</v>
      </c>
      <c r="P333" t="str">
        <f t="shared" si="41"/>
        <v>None</v>
      </c>
      <c r="Q333" t="s">
        <v>124</v>
      </c>
    </row>
    <row r="334" spans="1:17" x14ac:dyDescent="0.3">
      <c r="A334">
        <v>333</v>
      </c>
      <c r="B334" t="s">
        <v>19</v>
      </c>
      <c r="C334" s="1">
        <v>45778</v>
      </c>
      <c r="D334" t="s">
        <v>27</v>
      </c>
      <c r="E334" t="s">
        <v>34</v>
      </c>
      <c r="F334" s="2" t="s">
        <v>37</v>
      </c>
      <c r="G334" t="str">
        <f t="shared" si="37"/>
        <v>Oudgasm Tobacco Oud 04-UK</v>
      </c>
      <c r="H334">
        <f t="shared" si="38"/>
        <v>566</v>
      </c>
      <c r="I334">
        <f>VLOOKUP(G334,Table4[[SKU-COUNTRY2]:[Price in USD]],2,FALSE)</f>
        <v>151.13</v>
      </c>
      <c r="J334">
        <f>VLOOKUP(G334,Sheet3!$C$82:$I$100,MATCH(E334,Sheet3!C$82:H$82,0),FALSE) * VLOOKUP(C334,Table8[],2,0)</f>
        <v>85500</v>
      </c>
      <c r="K334">
        <f>ROUND(J334*VLOOKUP(F334,Sheet3!$A$106:$C$111,2,FALSE),0)</f>
        <v>29925</v>
      </c>
      <c r="L334">
        <f t="shared" si="35"/>
        <v>55575</v>
      </c>
      <c r="M334">
        <f t="shared" si="36"/>
        <v>65</v>
      </c>
      <c r="N334" t="str">
        <f t="shared" si="39"/>
        <v>No</v>
      </c>
      <c r="O334">
        <f t="shared" si="40"/>
        <v>0</v>
      </c>
      <c r="P334" t="str">
        <f t="shared" si="41"/>
        <v>None</v>
      </c>
      <c r="Q334" t="s">
        <v>124</v>
      </c>
    </row>
    <row r="335" spans="1:17" x14ac:dyDescent="0.3">
      <c r="A335">
        <v>334</v>
      </c>
      <c r="B335" t="s">
        <v>19</v>
      </c>
      <c r="C335" s="1">
        <v>45778</v>
      </c>
      <c r="D335" t="s">
        <v>27</v>
      </c>
      <c r="E335" t="s">
        <v>34</v>
      </c>
      <c r="F335" s="2" t="s">
        <v>38</v>
      </c>
      <c r="G335" t="str">
        <f t="shared" si="37"/>
        <v>Yum Pistachio Gelato 33-UK</v>
      </c>
      <c r="H335">
        <f t="shared" si="38"/>
        <v>608</v>
      </c>
      <c r="I335">
        <f>VLOOKUP(G335,Table4[[SKU-COUNTRY2]:[Price in USD]],2,FALSE)</f>
        <v>101.6</v>
      </c>
      <c r="J335">
        <f>VLOOKUP(G335,Sheet3!$C$82:$I$100,MATCH(E335,Sheet3!C$82:H$82,0),FALSE) * VLOOKUP(C335,Table8[],2,0)</f>
        <v>61750</v>
      </c>
      <c r="K335">
        <f>ROUND(J335*VLOOKUP(F335,Sheet3!$A$106:$C$111,2,FALSE),0)</f>
        <v>19143</v>
      </c>
      <c r="L335">
        <f t="shared" si="35"/>
        <v>42607</v>
      </c>
      <c r="M335">
        <f t="shared" si="36"/>
        <v>69</v>
      </c>
      <c r="N335" t="str">
        <f t="shared" si="39"/>
        <v>No</v>
      </c>
      <c r="O335">
        <f t="shared" si="40"/>
        <v>0</v>
      </c>
      <c r="P335" t="str">
        <f t="shared" si="41"/>
        <v>None</v>
      </c>
      <c r="Q335" t="s">
        <v>124</v>
      </c>
    </row>
    <row r="336" spans="1:17" x14ac:dyDescent="0.3">
      <c r="A336">
        <v>335</v>
      </c>
      <c r="B336" t="s">
        <v>19</v>
      </c>
      <c r="C336" s="1">
        <v>45778</v>
      </c>
      <c r="D336" t="s">
        <v>27</v>
      </c>
      <c r="E336" t="s">
        <v>34</v>
      </c>
      <c r="F336" s="2" t="s">
        <v>39</v>
      </c>
      <c r="G336" t="str">
        <f t="shared" si="37"/>
        <v>Freedom Musk Santal 34-UK</v>
      </c>
      <c r="H336">
        <f t="shared" si="38"/>
        <v>468</v>
      </c>
      <c r="I336">
        <f>VLOOKUP(G336,Table4[[SKU-COUNTRY2]:[Price in USD]],2,FALSE)</f>
        <v>101.6</v>
      </c>
      <c r="J336">
        <f>VLOOKUP(G336,Sheet3!$C$82:$I$100,MATCH(E336,Sheet3!C$82:H$82,0),FALSE) * VLOOKUP(C336,Table8[],2,0)</f>
        <v>47500</v>
      </c>
      <c r="K336">
        <f>ROUND(J336*VLOOKUP(F336,Sheet3!$A$106:$C$111,2,FALSE),0)</f>
        <v>15200</v>
      </c>
      <c r="L336">
        <f t="shared" si="35"/>
        <v>32300</v>
      </c>
      <c r="M336">
        <f t="shared" si="36"/>
        <v>68</v>
      </c>
      <c r="N336" t="str">
        <f t="shared" si="39"/>
        <v>No</v>
      </c>
      <c r="O336">
        <f t="shared" si="40"/>
        <v>0</v>
      </c>
      <c r="P336" t="str">
        <f t="shared" si="41"/>
        <v>None</v>
      </c>
      <c r="Q336" t="s">
        <v>124</v>
      </c>
    </row>
    <row r="337" spans="1:17" x14ac:dyDescent="0.3">
      <c r="A337">
        <v>336</v>
      </c>
      <c r="B337" t="s">
        <v>19</v>
      </c>
      <c r="C337" s="1">
        <v>45778</v>
      </c>
      <c r="D337" t="s">
        <v>27</v>
      </c>
      <c r="E337" t="s">
        <v>34</v>
      </c>
      <c r="F337" s="2" t="s">
        <v>40</v>
      </c>
      <c r="G337" t="str">
        <f t="shared" si="37"/>
        <v>Musk 12-UK</v>
      </c>
      <c r="H337">
        <f t="shared" si="38"/>
        <v>327</v>
      </c>
      <c r="I337">
        <f>VLOOKUP(G337,Table4[[SKU-COUNTRY2]:[Price in USD]],2,FALSE)</f>
        <v>101.6</v>
      </c>
      <c r="J337">
        <f>VLOOKUP(G337,Sheet3!$C$82:$I$100,MATCH(E337,Sheet3!C$82:H$82,0),FALSE) * VLOOKUP(C337,Table8[],2,0)</f>
        <v>33250</v>
      </c>
      <c r="K337">
        <f>ROUND(J337*VLOOKUP(F337,Sheet3!$A$106:$C$111,2,FALSE),0)</f>
        <v>9975</v>
      </c>
      <c r="L337">
        <f t="shared" si="35"/>
        <v>23275</v>
      </c>
      <c r="M337">
        <f t="shared" si="36"/>
        <v>70</v>
      </c>
      <c r="N337" t="str">
        <f t="shared" si="39"/>
        <v>No</v>
      </c>
      <c r="O337">
        <f t="shared" si="40"/>
        <v>0</v>
      </c>
      <c r="P337" t="str">
        <f t="shared" si="41"/>
        <v>None</v>
      </c>
      <c r="Q337" t="s">
        <v>124</v>
      </c>
    </row>
    <row r="338" spans="1:17" x14ac:dyDescent="0.3">
      <c r="A338">
        <v>337</v>
      </c>
      <c r="B338" t="s">
        <v>19</v>
      </c>
      <c r="C338" s="1">
        <v>45778</v>
      </c>
      <c r="D338" t="s">
        <v>29</v>
      </c>
      <c r="E338" t="s">
        <v>32</v>
      </c>
      <c r="F338" s="2" t="s">
        <v>35</v>
      </c>
      <c r="G338" t="str">
        <f t="shared" si="37"/>
        <v>Vanilla 28-UAE</v>
      </c>
      <c r="H338">
        <f t="shared" si="38"/>
        <v>1885</v>
      </c>
      <c r="I338">
        <f>VLOOKUP(G338,Table4[[SKU-COUNTRY2]:[Price in USD]],2,FALSE)</f>
        <v>113.4</v>
      </c>
      <c r="J338">
        <f>VLOOKUP(G338,Sheet3!$C$82:$I$100,MATCH(E338,Sheet3!C$82:H$82,0),FALSE) * VLOOKUP(C338,Table8[],2,0)</f>
        <v>213750</v>
      </c>
      <c r="K338">
        <f>ROUND(J338*VLOOKUP(F338,Sheet3!$A$106:$C$111,2,FALSE),0)</f>
        <v>64125</v>
      </c>
      <c r="L338">
        <f t="shared" si="35"/>
        <v>149625</v>
      </c>
      <c r="M338">
        <f t="shared" si="36"/>
        <v>70</v>
      </c>
      <c r="N338" t="str">
        <f t="shared" si="39"/>
        <v>No</v>
      </c>
      <c r="O338">
        <f t="shared" si="40"/>
        <v>0</v>
      </c>
      <c r="P338" t="str">
        <f t="shared" si="41"/>
        <v>None</v>
      </c>
      <c r="Q338" t="s">
        <v>124</v>
      </c>
    </row>
    <row r="339" spans="1:17" x14ac:dyDescent="0.3">
      <c r="A339">
        <v>338</v>
      </c>
      <c r="B339" t="s">
        <v>19</v>
      </c>
      <c r="C339" s="1">
        <v>45778</v>
      </c>
      <c r="D339" t="s">
        <v>29</v>
      </c>
      <c r="E339" t="s">
        <v>32</v>
      </c>
      <c r="F339" s="2" t="s">
        <v>36</v>
      </c>
      <c r="G339" t="str">
        <f t="shared" si="37"/>
        <v>Eden Juicy Apple 01-UAE</v>
      </c>
      <c r="H339">
        <f t="shared" si="38"/>
        <v>1414</v>
      </c>
      <c r="I339">
        <f>VLOOKUP(G339,Table4[[SKU-COUNTRY2]:[Price in USD]],2,FALSE)</f>
        <v>113.4</v>
      </c>
      <c r="J339">
        <f>VLOOKUP(G339,Sheet3!$C$82:$I$100,MATCH(E339,Sheet3!C$82:H$82,0),FALSE) * VLOOKUP(C339,Table8[],2,0)</f>
        <v>160312.5</v>
      </c>
      <c r="K339">
        <f>ROUND(J339*VLOOKUP(F339,Sheet3!$A$106:$C$111,2,FALSE),0)</f>
        <v>49697</v>
      </c>
      <c r="L339">
        <f t="shared" si="35"/>
        <v>110615.5</v>
      </c>
      <c r="M339">
        <f t="shared" si="36"/>
        <v>69</v>
      </c>
      <c r="N339" t="str">
        <f t="shared" si="39"/>
        <v>No</v>
      </c>
      <c r="O339">
        <f t="shared" si="40"/>
        <v>0</v>
      </c>
      <c r="P339" t="str">
        <f t="shared" si="41"/>
        <v>None</v>
      </c>
      <c r="Q339" t="s">
        <v>124</v>
      </c>
    </row>
    <row r="340" spans="1:17" x14ac:dyDescent="0.3">
      <c r="A340">
        <v>339</v>
      </c>
      <c r="B340" t="s">
        <v>19</v>
      </c>
      <c r="C340" s="1">
        <v>45778</v>
      </c>
      <c r="D340" t="s">
        <v>29</v>
      </c>
      <c r="E340" t="s">
        <v>32</v>
      </c>
      <c r="F340" s="2" t="s">
        <v>37</v>
      </c>
      <c r="G340" t="str">
        <f t="shared" si="37"/>
        <v>Oudgasm Tobacco Oud 04-UAE</v>
      </c>
      <c r="H340">
        <f t="shared" si="38"/>
        <v>2514</v>
      </c>
      <c r="I340">
        <f>VLOOKUP(G340,Table4[[SKU-COUNTRY2]:[Price in USD]],2,FALSE)</f>
        <v>148.77000000000001</v>
      </c>
      <c r="J340">
        <f>VLOOKUP(G340,Sheet3!$C$82:$I$100,MATCH(E340,Sheet3!C$82:H$82,0),FALSE) * VLOOKUP(C340,Table8[],2,0)</f>
        <v>374062.5</v>
      </c>
      <c r="K340">
        <f>ROUND(J340*VLOOKUP(F340,Sheet3!$A$106:$C$111,2,FALSE),0)</f>
        <v>130922</v>
      </c>
      <c r="L340">
        <f t="shared" si="35"/>
        <v>243140.5</v>
      </c>
      <c r="M340">
        <f t="shared" si="36"/>
        <v>65</v>
      </c>
      <c r="N340" t="str">
        <f t="shared" si="39"/>
        <v>No</v>
      </c>
      <c r="O340">
        <f t="shared" si="40"/>
        <v>0</v>
      </c>
      <c r="P340" t="str">
        <f t="shared" si="41"/>
        <v>None</v>
      </c>
      <c r="Q340" t="s">
        <v>124</v>
      </c>
    </row>
    <row r="341" spans="1:17" x14ac:dyDescent="0.3">
      <c r="A341">
        <v>340</v>
      </c>
      <c r="B341" t="s">
        <v>19</v>
      </c>
      <c r="C341" s="1">
        <v>45778</v>
      </c>
      <c r="D341" t="s">
        <v>29</v>
      </c>
      <c r="E341" t="s">
        <v>32</v>
      </c>
      <c r="F341" s="2" t="s">
        <v>38</v>
      </c>
      <c r="G341" t="str">
        <f t="shared" si="37"/>
        <v>Yum Pistachio Gelato 33-UAE</v>
      </c>
      <c r="H341">
        <f t="shared" si="38"/>
        <v>1131</v>
      </c>
      <c r="I341">
        <f>VLOOKUP(G341,Table4[[SKU-COUNTRY2]:[Price in USD]],2,FALSE)</f>
        <v>113.4</v>
      </c>
      <c r="J341">
        <f>VLOOKUP(G341,Sheet3!$C$82:$I$100,MATCH(E341,Sheet3!C$82:H$82,0),FALSE) * VLOOKUP(C341,Table8[],2,0)</f>
        <v>128250</v>
      </c>
      <c r="K341">
        <f>ROUND(J341*VLOOKUP(F341,Sheet3!$A$106:$C$111,2,FALSE),0)</f>
        <v>39758</v>
      </c>
      <c r="L341">
        <f t="shared" si="35"/>
        <v>88492</v>
      </c>
      <c r="M341">
        <f t="shared" si="36"/>
        <v>69</v>
      </c>
      <c r="N341" t="str">
        <f t="shared" si="39"/>
        <v>No</v>
      </c>
      <c r="O341">
        <f t="shared" si="40"/>
        <v>0</v>
      </c>
      <c r="P341" t="str">
        <f t="shared" si="41"/>
        <v>None</v>
      </c>
      <c r="Q341" t="s">
        <v>124</v>
      </c>
    </row>
    <row r="342" spans="1:17" x14ac:dyDescent="0.3">
      <c r="A342">
        <v>341</v>
      </c>
      <c r="B342" t="s">
        <v>19</v>
      </c>
      <c r="C342" s="1">
        <v>45778</v>
      </c>
      <c r="D342" t="s">
        <v>29</v>
      </c>
      <c r="E342" t="s">
        <v>32</v>
      </c>
      <c r="F342" s="2" t="s">
        <v>39</v>
      </c>
      <c r="G342" t="str">
        <f t="shared" si="37"/>
        <v>Freedom Musk Santal 34-UAE</v>
      </c>
      <c r="H342">
        <f t="shared" si="38"/>
        <v>942</v>
      </c>
      <c r="I342">
        <f>VLOOKUP(G342,Table4[[SKU-COUNTRY2]:[Price in USD]],2,FALSE)</f>
        <v>113.4</v>
      </c>
      <c r="J342">
        <f>VLOOKUP(G342,Sheet3!$C$82:$I$100,MATCH(E342,Sheet3!C$82:H$82,0),FALSE) * VLOOKUP(C342,Table8[],2,0)</f>
        <v>106875</v>
      </c>
      <c r="K342">
        <f>ROUND(J342*VLOOKUP(F342,Sheet3!$A$106:$C$111,2,FALSE),0)</f>
        <v>34200</v>
      </c>
      <c r="L342">
        <f t="shared" si="35"/>
        <v>72675</v>
      </c>
      <c r="M342">
        <f t="shared" si="36"/>
        <v>68</v>
      </c>
      <c r="N342" t="str">
        <f t="shared" si="39"/>
        <v>No</v>
      </c>
      <c r="O342">
        <f t="shared" si="40"/>
        <v>0</v>
      </c>
      <c r="P342" t="str">
        <f t="shared" si="41"/>
        <v>None</v>
      </c>
      <c r="Q342" t="s">
        <v>124</v>
      </c>
    </row>
    <row r="343" spans="1:17" x14ac:dyDescent="0.3">
      <c r="A343">
        <v>342</v>
      </c>
      <c r="B343" t="s">
        <v>19</v>
      </c>
      <c r="C343" s="1">
        <v>45778</v>
      </c>
      <c r="D343" t="s">
        <v>29</v>
      </c>
      <c r="E343" t="s">
        <v>32</v>
      </c>
      <c r="F343" s="2" t="s">
        <v>40</v>
      </c>
      <c r="G343" t="str">
        <f t="shared" si="37"/>
        <v>Musk 12-UAE</v>
      </c>
      <c r="H343">
        <f t="shared" si="38"/>
        <v>754</v>
      </c>
      <c r="I343">
        <f>VLOOKUP(G343,Table4[[SKU-COUNTRY2]:[Price in USD]],2,FALSE)</f>
        <v>113.4</v>
      </c>
      <c r="J343">
        <f>VLOOKUP(G343,Sheet3!$C$82:$I$100,MATCH(E343,Sheet3!C$82:H$82,0),FALSE) * VLOOKUP(C343,Table8[],2,0)</f>
        <v>85500</v>
      </c>
      <c r="K343">
        <f>ROUND(J343*VLOOKUP(F343,Sheet3!$A$106:$C$111,2,FALSE),0)</f>
        <v>25650</v>
      </c>
      <c r="L343">
        <f t="shared" si="35"/>
        <v>59850</v>
      </c>
      <c r="M343">
        <f t="shared" si="36"/>
        <v>70</v>
      </c>
      <c r="N343" t="str">
        <f t="shared" si="39"/>
        <v>No</v>
      </c>
      <c r="O343">
        <f t="shared" si="40"/>
        <v>0</v>
      </c>
      <c r="P343" t="str">
        <f t="shared" si="41"/>
        <v>None</v>
      </c>
      <c r="Q343" t="s">
        <v>124</v>
      </c>
    </row>
    <row r="344" spans="1:17" x14ac:dyDescent="0.3">
      <c r="A344">
        <v>343</v>
      </c>
      <c r="B344" t="s">
        <v>19</v>
      </c>
      <c r="C344" s="1">
        <v>45778</v>
      </c>
      <c r="D344" t="s">
        <v>29</v>
      </c>
      <c r="E344" t="s">
        <v>31</v>
      </c>
      <c r="F344" s="2" t="s">
        <v>35</v>
      </c>
      <c r="G344" t="str">
        <f t="shared" si="37"/>
        <v>Vanilla 28-UAE</v>
      </c>
      <c r="H344">
        <f t="shared" si="38"/>
        <v>1047</v>
      </c>
      <c r="I344">
        <f>VLOOKUP(G344,Table4[[SKU-COUNTRY2]:[Price in USD]],2,FALSE)</f>
        <v>113.4</v>
      </c>
      <c r="J344">
        <f>VLOOKUP(G344,Sheet3!$C$82:$I$100,MATCH(E344,Sheet3!C$82:H$82,0),FALSE) * VLOOKUP(C344,Table8[],2,0)</f>
        <v>118750</v>
      </c>
      <c r="K344">
        <f>ROUND(J344*VLOOKUP(F344,Sheet3!$A$106:$C$111,2,FALSE),0)</f>
        <v>35625</v>
      </c>
      <c r="L344">
        <f t="shared" si="35"/>
        <v>83125</v>
      </c>
      <c r="M344">
        <f t="shared" si="36"/>
        <v>70</v>
      </c>
      <c r="N344" t="str">
        <f t="shared" si="39"/>
        <v>No</v>
      </c>
      <c r="O344">
        <f t="shared" si="40"/>
        <v>0</v>
      </c>
      <c r="P344" t="str">
        <f t="shared" si="41"/>
        <v>None</v>
      </c>
      <c r="Q344" t="s">
        <v>124</v>
      </c>
    </row>
    <row r="345" spans="1:17" x14ac:dyDescent="0.3">
      <c r="A345">
        <v>344</v>
      </c>
      <c r="B345" t="s">
        <v>19</v>
      </c>
      <c r="C345" s="1">
        <v>45778</v>
      </c>
      <c r="D345" t="s">
        <v>29</v>
      </c>
      <c r="E345" t="s">
        <v>31</v>
      </c>
      <c r="F345" s="2" t="s">
        <v>36</v>
      </c>
      <c r="G345" t="str">
        <f t="shared" si="37"/>
        <v>Eden Juicy Apple 01-UAE</v>
      </c>
      <c r="H345">
        <f t="shared" si="38"/>
        <v>785</v>
      </c>
      <c r="I345">
        <f>VLOOKUP(G345,Table4[[SKU-COUNTRY2]:[Price in USD]],2,FALSE)</f>
        <v>113.4</v>
      </c>
      <c r="J345">
        <f>VLOOKUP(G345,Sheet3!$C$82:$I$100,MATCH(E345,Sheet3!C$82:H$82,0),FALSE) * VLOOKUP(C345,Table8[],2,0)</f>
        <v>89062.5</v>
      </c>
      <c r="K345">
        <f>ROUND(J345*VLOOKUP(F345,Sheet3!$A$106:$C$111,2,FALSE),0)</f>
        <v>27609</v>
      </c>
      <c r="L345">
        <f t="shared" si="35"/>
        <v>61453.5</v>
      </c>
      <c r="M345">
        <f t="shared" si="36"/>
        <v>69</v>
      </c>
      <c r="N345" t="str">
        <f t="shared" si="39"/>
        <v>No</v>
      </c>
      <c r="O345">
        <f t="shared" si="40"/>
        <v>0</v>
      </c>
      <c r="P345" t="str">
        <f t="shared" si="41"/>
        <v>None</v>
      </c>
      <c r="Q345" t="s">
        <v>124</v>
      </c>
    </row>
    <row r="346" spans="1:17" x14ac:dyDescent="0.3">
      <c r="A346">
        <v>345</v>
      </c>
      <c r="B346" t="s">
        <v>19</v>
      </c>
      <c r="C346" s="1">
        <v>45778</v>
      </c>
      <c r="D346" t="s">
        <v>29</v>
      </c>
      <c r="E346" t="s">
        <v>31</v>
      </c>
      <c r="F346" s="2" t="s">
        <v>37</v>
      </c>
      <c r="G346" t="str">
        <f t="shared" si="37"/>
        <v>Oudgasm Tobacco Oud 04-UAE</v>
      </c>
      <c r="H346">
        <f t="shared" si="38"/>
        <v>1397</v>
      </c>
      <c r="I346">
        <f>VLOOKUP(G346,Table4[[SKU-COUNTRY2]:[Price in USD]],2,FALSE)</f>
        <v>148.77000000000001</v>
      </c>
      <c r="J346">
        <f>VLOOKUP(G346,Sheet3!$C$82:$I$100,MATCH(E346,Sheet3!C$82:H$82,0),FALSE) * VLOOKUP(C346,Table8[],2,0)</f>
        <v>207812.5</v>
      </c>
      <c r="K346">
        <f>ROUND(J346*VLOOKUP(F346,Sheet3!$A$106:$C$111,2,FALSE),0)</f>
        <v>72734</v>
      </c>
      <c r="L346">
        <f t="shared" si="35"/>
        <v>135078.5</v>
      </c>
      <c r="M346">
        <f t="shared" si="36"/>
        <v>65</v>
      </c>
      <c r="N346" t="str">
        <f t="shared" si="39"/>
        <v>No</v>
      </c>
      <c r="O346">
        <f t="shared" si="40"/>
        <v>0</v>
      </c>
      <c r="P346" t="str">
        <f t="shared" si="41"/>
        <v>None</v>
      </c>
      <c r="Q346" t="s">
        <v>124</v>
      </c>
    </row>
    <row r="347" spans="1:17" x14ac:dyDescent="0.3">
      <c r="A347">
        <v>346</v>
      </c>
      <c r="B347" t="s">
        <v>19</v>
      </c>
      <c r="C347" s="1">
        <v>45778</v>
      </c>
      <c r="D347" t="s">
        <v>29</v>
      </c>
      <c r="E347" t="s">
        <v>31</v>
      </c>
      <c r="F347" s="2" t="s">
        <v>38</v>
      </c>
      <c r="G347" t="str">
        <f t="shared" si="37"/>
        <v>Yum Pistachio Gelato 33-UAE</v>
      </c>
      <c r="H347">
        <f t="shared" si="38"/>
        <v>628</v>
      </c>
      <c r="I347">
        <f>VLOOKUP(G347,Table4[[SKU-COUNTRY2]:[Price in USD]],2,FALSE)</f>
        <v>113.4</v>
      </c>
      <c r="J347">
        <f>VLOOKUP(G347,Sheet3!$C$82:$I$100,MATCH(E347,Sheet3!C$82:H$82,0),FALSE) * VLOOKUP(C347,Table8[],2,0)</f>
        <v>71250</v>
      </c>
      <c r="K347">
        <f>ROUND(J347*VLOOKUP(F347,Sheet3!$A$106:$C$111,2,FALSE),0)</f>
        <v>22088</v>
      </c>
      <c r="L347">
        <f t="shared" si="35"/>
        <v>49162</v>
      </c>
      <c r="M347">
        <f t="shared" si="36"/>
        <v>69</v>
      </c>
      <c r="N347" t="str">
        <f t="shared" si="39"/>
        <v>No</v>
      </c>
      <c r="O347">
        <f t="shared" si="40"/>
        <v>0</v>
      </c>
      <c r="P347" t="str">
        <f t="shared" si="41"/>
        <v>None</v>
      </c>
      <c r="Q347" t="s">
        <v>124</v>
      </c>
    </row>
    <row r="348" spans="1:17" x14ac:dyDescent="0.3">
      <c r="A348">
        <v>347</v>
      </c>
      <c r="B348" t="s">
        <v>19</v>
      </c>
      <c r="C348" s="1">
        <v>45778</v>
      </c>
      <c r="D348" t="s">
        <v>29</v>
      </c>
      <c r="E348" t="s">
        <v>31</v>
      </c>
      <c r="F348" s="2" t="s">
        <v>39</v>
      </c>
      <c r="G348" t="str">
        <f t="shared" si="37"/>
        <v>Freedom Musk Santal 34-UAE</v>
      </c>
      <c r="H348">
        <f t="shared" si="38"/>
        <v>524</v>
      </c>
      <c r="I348">
        <f>VLOOKUP(G348,Table4[[SKU-COUNTRY2]:[Price in USD]],2,FALSE)</f>
        <v>113.4</v>
      </c>
      <c r="J348">
        <f>VLOOKUP(G348,Sheet3!$C$82:$I$100,MATCH(E348,Sheet3!C$82:H$82,0),FALSE) * VLOOKUP(C348,Table8[],2,0)</f>
        <v>59375</v>
      </c>
      <c r="K348">
        <f>ROUND(J348*VLOOKUP(F348,Sheet3!$A$106:$C$111,2,FALSE),0)</f>
        <v>19000</v>
      </c>
      <c r="L348">
        <f t="shared" si="35"/>
        <v>40375</v>
      </c>
      <c r="M348">
        <f t="shared" si="36"/>
        <v>68</v>
      </c>
      <c r="N348" t="str">
        <f t="shared" si="39"/>
        <v>No</v>
      </c>
      <c r="O348">
        <f t="shared" si="40"/>
        <v>0</v>
      </c>
      <c r="P348" t="str">
        <f t="shared" si="41"/>
        <v>None</v>
      </c>
      <c r="Q348" t="s">
        <v>124</v>
      </c>
    </row>
    <row r="349" spans="1:17" x14ac:dyDescent="0.3">
      <c r="A349">
        <v>348</v>
      </c>
      <c r="B349" t="s">
        <v>19</v>
      </c>
      <c r="C349" s="1">
        <v>45778</v>
      </c>
      <c r="D349" t="s">
        <v>29</v>
      </c>
      <c r="E349" t="s">
        <v>31</v>
      </c>
      <c r="F349" s="2" t="s">
        <v>40</v>
      </c>
      <c r="G349" t="str">
        <f t="shared" si="37"/>
        <v>Musk 12-UAE</v>
      </c>
      <c r="H349">
        <f t="shared" si="38"/>
        <v>419</v>
      </c>
      <c r="I349">
        <f>VLOOKUP(G349,Table4[[SKU-COUNTRY2]:[Price in USD]],2,FALSE)</f>
        <v>113.4</v>
      </c>
      <c r="J349">
        <f>VLOOKUP(G349,Sheet3!$C$82:$I$100,MATCH(E349,Sheet3!C$82:H$82,0),FALSE) * VLOOKUP(C349,Table8[],2,0)</f>
        <v>47500</v>
      </c>
      <c r="K349">
        <f>ROUND(J349*VLOOKUP(F349,Sheet3!$A$106:$C$111,2,FALSE),0)</f>
        <v>14250</v>
      </c>
      <c r="L349">
        <f t="shared" si="35"/>
        <v>33250</v>
      </c>
      <c r="M349">
        <f t="shared" si="36"/>
        <v>70</v>
      </c>
      <c r="N349" t="str">
        <f t="shared" si="39"/>
        <v>No</v>
      </c>
      <c r="O349">
        <f t="shared" si="40"/>
        <v>0</v>
      </c>
      <c r="P349" t="str">
        <f t="shared" si="41"/>
        <v>None</v>
      </c>
      <c r="Q349" t="s">
        <v>124</v>
      </c>
    </row>
    <row r="350" spans="1:17" x14ac:dyDescent="0.3">
      <c r="A350">
        <v>349</v>
      </c>
      <c r="B350" t="s">
        <v>19</v>
      </c>
      <c r="C350" s="1">
        <v>45778</v>
      </c>
      <c r="D350" t="s">
        <v>29</v>
      </c>
      <c r="E350" t="s">
        <v>33</v>
      </c>
      <c r="F350" s="2" t="s">
        <v>35</v>
      </c>
      <c r="G350" t="str">
        <f t="shared" si="37"/>
        <v>Vanilla 28-UAE</v>
      </c>
      <c r="H350">
        <f t="shared" si="38"/>
        <v>838</v>
      </c>
      <c r="I350">
        <f>VLOOKUP(G350,Table4[[SKU-COUNTRY2]:[Price in USD]],2,FALSE)</f>
        <v>113.4</v>
      </c>
      <c r="J350">
        <f>VLOOKUP(G350,Sheet3!$C$82:$I$100,MATCH(E350,Sheet3!C$82:H$82,0),FALSE) * VLOOKUP(C350,Table8[],2,0)</f>
        <v>95000</v>
      </c>
      <c r="K350">
        <f>ROUND(J350*VLOOKUP(F350,Sheet3!$A$106:$C$111,2,FALSE),0)</f>
        <v>28500</v>
      </c>
      <c r="L350">
        <f t="shared" si="35"/>
        <v>66500</v>
      </c>
      <c r="M350">
        <f t="shared" si="36"/>
        <v>70</v>
      </c>
      <c r="N350" t="str">
        <f t="shared" si="39"/>
        <v>No</v>
      </c>
      <c r="O350">
        <f t="shared" si="40"/>
        <v>0</v>
      </c>
      <c r="P350" t="str">
        <f t="shared" si="41"/>
        <v>None</v>
      </c>
      <c r="Q350" t="s">
        <v>124</v>
      </c>
    </row>
    <row r="351" spans="1:17" x14ac:dyDescent="0.3">
      <c r="A351">
        <v>350</v>
      </c>
      <c r="B351" t="s">
        <v>19</v>
      </c>
      <c r="C351" s="1">
        <v>45778</v>
      </c>
      <c r="D351" t="s">
        <v>29</v>
      </c>
      <c r="E351" t="s">
        <v>33</v>
      </c>
      <c r="F351" s="2" t="s">
        <v>36</v>
      </c>
      <c r="G351" t="str">
        <f t="shared" si="37"/>
        <v>Eden Juicy Apple 01-UAE</v>
      </c>
      <c r="H351">
        <f t="shared" si="38"/>
        <v>628</v>
      </c>
      <c r="I351">
        <f>VLOOKUP(G351,Table4[[SKU-COUNTRY2]:[Price in USD]],2,FALSE)</f>
        <v>113.4</v>
      </c>
      <c r="J351">
        <f>VLOOKUP(G351,Sheet3!$C$82:$I$100,MATCH(E351,Sheet3!C$82:H$82,0),FALSE) * VLOOKUP(C351,Table8[],2,0)</f>
        <v>71250</v>
      </c>
      <c r="K351">
        <f>ROUND(J351*VLOOKUP(F351,Sheet3!$A$106:$C$111,2,FALSE),0)</f>
        <v>22088</v>
      </c>
      <c r="L351">
        <f t="shared" si="35"/>
        <v>49162</v>
      </c>
      <c r="M351">
        <f t="shared" si="36"/>
        <v>69</v>
      </c>
      <c r="N351" t="str">
        <f t="shared" si="39"/>
        <v>No</v>
      </c>
      <c r="O351">
        <f t="shared" si="40"/>
        <v>0</v>
      </c>
      <c r="P351" t="str">
        <f t="shared" si="41"/>
        <v>None</v>
      </c>
      <c r="Q351" t="s">
        <v>124</v>
      </c>
    </row>
    <row r="352" spans="1:17" x14ac:dyDescent="0.3">
      <c r="A352">
        <v>351</v>
      </c>
      <c r="B352" t="s">
        <v>19</v>
      </c>
      <c r="C352" s="1">
        <v>45778</v>
      </c>
      <c r="D352" t="s">
        <v>29</v>
      </c>
      <c r="E352" t="s">
        <v>33</v>
      </c>
      <c r="F352" s="2" t="s">
        <v>37</v>
      </c>
      <c r="G352" t="str">
        <f t="shared" si="37"/>
        <v>Oudgasm Tobacco Oud 04-UAE</v>
      </c>
      <c r="H352">
        <f t="shared" si="38"/>
        <v>1117</v>
      </c>
      <c r="I352">
        <f>VLOOKUP(G352,Table4[[SKU-COUNTRY2]:[Price in USD]],2,FALSE)</f>
        <v>148.77000000000001</v>
      </c>
      <c r="J352">
        <f>VLOOKUP(G352,Sheet3!$C$82:$I$100,MATCH(E352,Sheet3!C$82:H$82,0),FALSE) * VLOOKUP(C352,Table8[],2,0)</f>
        <v>166250</v>
      </c>
      <c r="K352">
        <f>ROUND(J352*VLOOKUP(F352,Sheet3!$A$106:$C$111,2,FALSE),0)</f>
        <v>58188</v>
      </c>
      <c r="L352">
        <f t="shared" si="35"/>
        <v>108062</v>
      </c>
      <c r="M352">
        <f t="shared" si="36"/>
        <v>65</v>
      </c>
      <c r="N352" t="str">
        <f t="shared" si="39"/>
        <v>No</v>
      </c>
      <c r="O352">
        <f t="shared" si="40"/>
        <v>0</v>
      </c>
      <c r="P352" t="str">
        <f t="shared" si="41"/>
        <v>None</v>
      </c>
      <c r="Q352" t="s">
        <v>124</v>
      </c>
    </row>
    <row r="353" spans="1:17" x14ac:dyDescent="0.3">
      <c r="A353">
        <v>352</v>
      </c>
      <c r="B353" t="s">
        <v>19</v>
      </c>
      <c r="C353" s="1">
        <v>45778</v>
      </c>
      <c r="D353" t="s">
        <v>29</v>
      </c>
      <c r="E353" t="s">
        <v>33</v>
      </c>
      <c r="F353" s="2" t="s">
        <v>38</v>
      </c>
      <c r="G353" t="str">
        <f t="shared" si="37"/>
        <v>Yum Pistachio Gelato 33-UAE</v>
      </c>
      <c r="H353">
        <f t="shared" si="38"/>
        <v>503</v>
      </c>
      <c r="I353">
        <f>VLOOKUP(G353,Table4[[SKU-COUNTRY2]:[Price in USD]],2,FALSE)</f>
        <v>113.4</v>
      </c>
      <c r="J353">
        <f>VLOOKUP(G353,Sheet3!$C$82:$I$100,MATCH(E353,Sheet3!C$82:H$82,0),FALSE) * VLOOKUP(C353,Table8[],2,0)</f>
        <v>57000</v>
      </c>
      <c r="K353">
        <f>ROUND(J353*VLOOKUP(F353,Sheet3!$A$106:$C$111,2,FALSE),0)</f>
        <v>17670</v>
      </c>
      <c r="L353">
        <f t="shared" si="35"/>
        <v>39330</v>
      </c>
      <c r="M353">
        <f t="shared" si="36"/>
        <v>69</v>
      </c>
      <c r="N353" t="str">
        <f t="shared" si="39"/>
        <v>No</v>
      </c>
      <c r="O353">
        <f t="shared" si="40"/>
        <v>0</v>
      </c>
      <c r="P353" t="str">
        <f t="shared" si="41"/>
        <v>None</v>
      </c>
      <c r="Q353" t="s">
        <v>124</v>
      </c>
    </row>
    <row r="354" spans="1:17" x14ac:dyDescent="0.3">
      <c r="A354">
        <v>353</v>
      </c>
      <c r="B354" t="s">
        <v>19</v>
      </c>
      <c r="C354" s="1">
        <v>45778</v>
      </c>
      <c r="D354" t="s">
        <v>29</v>
      </c>
      <c r="E354" t="s">
        <v>33</v>
      </c>
      <c r="F354" s="2" t="s">
        <v>39</v>
      </c>
      <c r="G354" t="str">
        <f t="shared" si="37"/>
        <v>Freedom Musk Santal 34-UAE</v>
      </c>
      <c r="H354">
        <f t="shared" si="38"/>
        <v>419</v>
      </c>
      <c r="I354">
        <f>VLOOKUP(G354,Table4[[SKU-COUNTRY2]:[Price in USD]],2,FALSE)</f>
        <v>113.4</v>
      </c>
      <c r="J354">
        <f>VLOOKUP(G354,Sheet3!$C$82:$I$100,MATCH(E354,Sheet3!C$82:H$82,0),FALSE) * VLOOKUP(C354,Table8[],2,0)</f>
        <v>47500</v>
      </c>
      <c r="K354">
        <f>ROUND(J354*VLOOKUP(F354,Sheet3!$A$106:$C$111,2,FALSE),0)</f>
        <v>15200</v>
      </c>
      <c r="L354">
        <f t="shared" si="35"/>
        <v>32300</v>
      </c>
      <c r="M354">
        <f t="shared" si="36"/>
        <v>68</v>
      </c>
      <c r="N354" t="str">
        <f t="shared" si="39"/>
        <v>No</v>
      </c>
      <c r="O354">
        <f t="shared" si="40"/>
        <v>0</v>
      </c>
      <c r="P354" t="str">
        <f t="shared" si="41"/>
        <v>None</v>
      </c>
      <c r="Q354" t="s">
        <v>124</v>
      </c>
    </row>
    <row r="355" spans="1:17" x14ac:dyDescent="0.3">
      <c r="A355">
        <v>354</v>
      </c>
      <c r="B355" t="s">
        <v>19</v>
      </c>
      <c r="C355" s="1">
        <v>45778</v>
      </c>
      <c r="D355" t="s">
        <v>29</v>
      </c>
      <c r="E355" t="s">
        <v>33</v>
      </c>
      <c r="F355" s="2" t="s">
        <v>40</v>
      </c>
      <c r="G355" t="str">
        <f t="shared" si="37"/>
        <v>Musk 12-UAE</v>
      </c>
      <c r="H355">
        <f t="shared" si="38"/>
        <v>335</v>
      </c>
      <c r="I355">
        <f>VLOOKUP(G355,Table4[[SKU-COUNTRY2]:[Price in USD]],2,FALSE)</f>
        <v>113.4</v>
      </c>
      <c r="J355">
        <f>VLOOKUP(G355,Sheet3!$C$82:$I$100,MATCH(E355,Sheet3!C$82:H$82,0),FALSE) * VLOOKUP(C355,Table8[],2,0)</f>
        <v>38000</v>
      </c>
      <c r="K355">
        <f>ROUND(J355*VLOOKUP(F355,Sheet3!$A$106:$C$111,2,FALSE),0)</f>
        <v>11400</v>
      </c>
      <c r="L355">
        <f t="shared" si="35"/>
        <v>26600</v>
      </c>
      <c r="M355">
        <f t="shared" si="36"/>
        <v>70</v>
      </c>
      <c r="N355" t="str">
        <f t="shared" si="39"/>
        <v>No</v>
      </c>
      <c r="O355">
        <f t="shared" si="40"/>
        <v>0</v>
      </c>
      <c r="P355" t="str">
        <f t="shared" si="41"/>
        <v>None</v>
      </c>
      <c r="Q355" t="s">
        <v>124</v>
      </c>
    </row>
    <row r="356" spans="1:17" x14ac:dyDescent="0.3">
      <c r="A356">
        <v>355</v>
      </c>
      <c r="B356" t="s">
        <v>19</v>
      </c>
      <c r="C356" s="1">
        <v>45778</v>
      </c>
      <c r="D356" t="s">
        <v>29</v>
      </c>
      <c r="E356" t="s">
        <v>34</v>
      </c>
      <c r="F356" s="2" t="s">
        <v>35</v>
      </c>
      <c r="G356" t="str">
        <f t="shared" si="37"/>
        <v>Vanilla 28-UAE</v>
      </c>
      <c r="H356">
        <f t="shared" si="38"/>
        <v>419</v>
      </c>
      <c r="I356">
        <f>VLOOKUP(G356,Table4[[SKU-COUNTRY2]:[Price in USD]],2,FALSE)</f>
        <v>113.4</v>
      </c>
      <c r="J356">
        <f>VLOOKUP(G356,Sheet3!$C$82:$I$100,MATCH(E356,Sheet3!C$82:H$82,0),FALSE) * VLOOKUP(C356,Table8[],2,0)</f>
        <v>47500</v>
      </c>
      <c r="K356">
        <f>ROUND(J356*VLOOKUP(F356,Sheet3!$A$106:$C$111,2,FALSE),0)</f>
        <v>14250</v>
      </c>
      <c r="L356">
        <f t="shared" si="35"/>
        <v>33250</v>
      </c>
      <c r="M356">
        <f t="shared" si="36"/>
        <v>70</v>
      </c>
      <c r="N356" t="str">
        <f t="shared" si="39"/>
        <v>No</v>
      </c>
      <c r="O356">
        <f t="shared" si="40"/>
        <v>0</v>
      </c>
      <c r="P356" t="str">
        <f t="shared" si="41"/>
        <v>None</v>
      </c>
      <c r="Q356" t="s">
        <v>124</v>
      </c>
    </row>
    <row r="357" spans="1:17" x14ac:dyDescent="0.3">
      <c r="A357">
        <v>356</v>
      </c>
      <c r="B357" t="s">
        <v>19</v>
      </c>
      <c r="C357" s="1">
        <v>45778</v>
      </c>
      <c r="D357" t="s">
        <v>29</v>
      </c>
      <c r="E357" t="s">
        <v>34</v>
      </c>
      <c r="F357" s="2" t="s">
        <v>36</v>
      </c>
      <c r="G357" t="str">
        <f t="shared" si="37"/>
        <v>Eden Juicy Apple 01-UAE</v>
      </c>
      <c r="H357">
        <f t="shared" si="38"/>
        <v>314</v>
      </c>
      <c r="I357">
        <f>VLOOKUP(G357,Table4[[SKU-COUNTRY2]:[Price in USD]],2,FALSE)</f>
        <v>113.4</v>
      </c>
      <c r="J357">
        <f>VLOOKUP(G357,Sheet3!$C$82:$I$100,MATCH(E357,Sheet3!C$82:H$82,0),FALSE) * VLOOKUP(C357,Table8[],2,0)</f>
        <v>35625</v>
      </c>
      <c r="K357">
        <f>ROUND(J357*VLOOKUP(F357,Sheet3!$A$106:$C$111,2,FALSE),0)</f>
        <v>11044</v>
      </c>
      <c r="L357">
        <f t="shared" si="35"/>
        <v>24581</v>
      </c>
      <c r="M357">
        <f t="shared" si="36"/>
        <v>69</v>
      </c>
      <c r="N357" t="str">
        <f t="shared" si="39"/>
        <v>No</v>
      </c>
      <c r="O357">
        <f t="shared" si="40"/>
        <v>0</v>
      </c>
      <c r="P357" t="str">
        <f t="shared" si="41"/>
        <v>None</v>
      </c>
      <c r="Q357" t="s">
        <v>124</v>
      </c>
    </row>
    <row r="358" spans="1:17" x14ac:dyDescent="0.3">
      <c r="A358">
        <v>357</v>
      </c>
      <c r="B358" t="s">
        <v>19</v>
      </c>
      <c r="C358" s="1">
        <v>45778</v>
      </c>
      <c r="D358" t="s">
        <v>29</v>
      </c>
      <c r="E358" t="s">
        <v>34</v>
      </c>
      <c r="F358" s="2" t="s">
        <v>37</v>
      </c>
      <c r="G358" t="str">
        <f t="shared" si="37"/>
        <v>Oudgasm Tobacco Oud 04-UAE</v>
      </c>
      <c r="H358">
        <f t="shared" si="38"/>
        <v>559</v>
      </c>
      <c r="I358">
        <f>VLOOKUP(G358,Table4[[SKU-COUNTRY2]:[Price in USD]],2,FALSE)</f>
        <v>148.77000000000001</v>
      </c>
      <c r="J358">
        <f>VLOOKUP(G358,Sheet3!$C$82:$I$100,MATCH(E358,Sheet3!C$82:H$82,0),FALSE) * VLOOKUP(C358,Table8[],2,0)</f>
        <v>83125</v>
      </c>
      <c r="K358">
        <f>ROUND(J358*VLOOKUP(F358,Sheet3!$A$106:$C$111,2,FALSE),0)</f>
        <v>29094</v>
      </c>
      <c r="L358">
        <f t="shared" si="35"/>
        <v>54031</v>
      </c>
      <c r="M358">
        <f t="shared" si="36"/>
        <v>65</v>
      </c>
      <c r="N358" t="str">
        <f t="shared" si="39"/>
        <v>No</v>
      </c>
      <c r="O358">
        <f t="shared" si="40"/>
        <v>0</v>
      </c>
      <c r="P358" t="str">
        <f t="shared" si="41"/>
        <v>None</v>
      </c>
      <c r="Q358" t="s">
        <v>124</v>
      </c>
    </row>
    <row r="359" spans="1:17" x14ac:dyDescent="0.3">
      <c r="A359">
        <v>358</v>
      </c>
      <c r="B359" t="s">
        <v>19</v>
      </c>
      <c r="C359" s="1">
        <v>45778</v>
      </c>
      <c r="D359" t="s">
        <v>29</v>
      </c>
      <c r="E359" t="s">
        <v>34</v>
      </c>
      <c r="F359" s="2" t="s">
        <v>38</v>
      </c>
      <c r="G359" t="str">
        <f t="shared" si="37"/>
        <v>Yum Pistachio Gelato 33-UAE</v>
      </c>
      <c r="H359">
        <f t="shared" si="38"/>
        <v>251</v>
      </c>
      <c r="I359">
        <f>VLOOKUP(G359,Table4[[SKU-COUNTRY2]:[Price in USD]],2,FALSE)</f>
        <v>113.4</v>
      </c>
      <c r="J359">
        <f>VLOOKUP(G359,Sheet3!$C$82:$I$100,MATCH(E359,Sheet3!C$82:H$82,0),FALSE) * VLOOKUP(C359,Table8[],2,0)</f>
        <v>28500</v>
      </c>
      <c r="K359">
        <f>ROUND(J359*VLOOKUP(F359,Sheet3!$A$106:$C$111,2,FALSE),0)</f>
        <v>8835</v>
      </c>
      <c r="L359">
        <f t="shared" si="35"/>
        <v>19665</v>
      </c>
      <c r="M359">
        <f t="shared" si="36"/>
        <v>69</v>
      </c>
      <c r="N359" t="str">
        <f t="shared" si="39"/>
        <v>No</v>
      </c>
      <c r="O359">
        <f t="shared" si="40"/>
        <v>0</v>
      </c>
      <c r="P359" t="str">
        <f t="shared" si="41"/>
        <v>None</v>
      </c>
      <c r="Q359" t="s">
        <v>124</v>
      </c>
    </row>
    <row r="360" spans="1:17" x14ac:dyDescent="0.3">
      <c r="A360">
        <v>359</v>
      </c>
      <c r="B360" t="s">
        <v>19</v>
      </c>
      <c r="C360" s="1">
        <v>45778</v>
      </c>
      <c r="D360" t="s">
        <v>29</v>
      </c>
      <c r="E360" t="s">
        <v>34</v>
      </c>
      <c r="F360" s="2" t="s">
        <v>39</v>
      </c>
      <c r="G360" t="str">
        <f t="shared" si="37"/>
        <v>Freedom Musk Santal 34-UAE</v>
      </c>
      <c r="H360">
        <f t="shared" si="38"/>
        <v>209</v>
      </c>
      <c r="I360">
        <f>VLOOKUP(G360,Table4[[SKU-COUNTRY2]:[Price in USD]],2,FALSE)</f>
        <v>113.4</v>
      </c>
      <c r="J360">
        <f>VLOOKUP(G360,Sheet3!$C$82:$I$100,MATCH(E360,Sheet3!C$82:H$82,0),FALSE) * VLOOKUP(C360,Table8[],2,0)</f>
        <v>23750</v>
      </c>
      <c r="K360">
        <f>ROUND(J360*VLOOKUP(F360,Sheet3!$A$106:$C$111,2,FALSE),0)</f>
        <v>7600</v>
      </c>
      <c r="L360">
        <f t="shared" si="35"/>
        <v>16150</v>
      </c>
      <c r="M360">
        <f t="shared" si="36"/>
        <v>68</v>
      </c>
      <c r="N360" t="str">
        <f t="shared" si="39"/>
        <v>No</v>
      </c>
      <c r="O360">
        <f t="shared" si="40"/>
        <v>0</v>
      </c>
      <c r="P360" t="str">
        <f t="shared" si="41"/>
        <v>None</v>
      </c>
      <c r="Q360" t="s">
        <v>124</v>
      </c>
    </row>
    <row r="361" spans="1:17" x14ac:dyDescent="0.3">
      <c r="A361">
        <v>360</v>
      </c>
      <c r="B361" t="s">
        <v>19</v>
      </c>
      <c r="C361" s="1">
        <v>45778</v>
      </c>
      <c r="D361" t="s">
        <v>29</v>
      </c>
      <c r="E361" t="s">
        <v>34</v>
      </c>
      <c r="F361" s="2" t="s">
        <v>40</v>
      </c>
      <c r="G361" t="str">
        <f t="shared" si="37"/>
        <v>Musk 12-UAE</v>
      </c>
      <c r="H361">
        <f t="shared" si="38"/>
        <v>168</v>
      </c>
      <c r="I361">
        <f>VLOOKUP(G361,Table4[[SKU-COUNTRY2]:[Price in USD]],2,FALSE)</f>
        <v>113.4</v>
      </c>
      <c r="J361">
        <f>VLOOKUP(G361,Sheet3!$C$82:$I$100,MATCH(E361,Sheet3!C$82:H$82,0),FALSE) * VLOOKUP(C361,Table8[],2,0)</f>
        <v>19000</v>
      </c>
      <c r="K361">
        <f>ROUND(J361*VLOOKUP(F361,Sheet3!$A$106:$C$111,2,FALSE),0)</f>
        <v>5700</v>
      </c>
      <c r="L361">
        <f t="shared" si="35"/>
        <v>13300</v>
      </c>
      <c r="M361">
        <f t="shared" si="36"/>
        <v>70</v>
      </c>
      <c r="N361" t="str">
        <f t="shared" si="39"/>
        <v>No</v>
      </c>
      <c r="O361">
        <f t="shared" si="40"/>
        <v>0</v>
      </c>
      <c r="P361" t="str">
        <f t="shared" si="41"/>
        <v>None</v>
      </c>
      <c r="Q361" t="s">
        <v>124</v>
      </c>
    </row>
    <row r="362" spans="1:17" x14ac:dyDescent="0.3">
      <c r="A362">
        <v>361</v>
      </c>
      <c r="B362" t="s">
        <v>20</v>
      </c>
      <c r="C362" s="1">
        <v>45809</v>
      </c>
      <c r="D362" t="s">
        <v>28</v>
      </c>
      <c r="E362" t="s">
        <v>32</v>
      </c>
      <c r="F362" s="2" t="s">
        <v>35</v>
      </c>
      <c r="G362" t="str">
        <f t="shared" si="37"/>
        <v>Vanilla 28-USA</v>
      </c>
      <c r="H362">
        <f t="shared" si="38"/>
        <v>23100</v>
      </c>
      <c r="I362">
        <f>VLOOKUP(G362,Table4[[SKU-COUNTRY2]:[Price in USD]],2,FALSE)</f>
        <v>105</v>
      </c>
      <c r="J362">
        <f>VLOOKUP(G362,Sheet3!$C$82:$I$100,MATCH(E362,Sheet3!C$82:H$82,0),FALSE) * VLOOKUP(C362,Table8[],2,0)</f>
        <v>2425500</v>
      </c>
      <c r="K362">
        <f>ROUND(J362*VLOOKUP(F362,Sheet3!$A$106:$C$111,2,FALSE),0)</f>
        <v>727650</v>
      </c>
      <c r="L362">
        <f t="shared" si="35"/>
        <v>1697850</v>
      </c>
      <c r="M362">
        <f t="shared" si="36"/>
        <v>70</v>
      </c>
      <c r="N362" t="str">
        <f t="shared" si="39"/>
        <v>No</v>
      </c>
      <c r="O362">
        <f t="shared" si="40"/>
        <v>0</v>
      </c>
      <c r="P362" t="str">
        <f t="shared" si="41"/>
        <v>None</v>
      </c>
      <c r="Q362" t="s">
        <v>124</v>
      </c>
    </row>
    <row r="363" spans="1:17" x14ac:dyDescent="0.3">
      <c r="A363">
        <v>362</v>
      </c>
      <c r="B363" t="s">
        <v>20</v>
      </c>
      <c r="C363" s="1">
        <v>45809</v>
      </c>
      <c r="D363" t="s">
        <v>28</v>
      </c>
      <c r="E363" t="s">
        <v>32</v>
      </c>
      <c r="F363" s="2" t="s">
        <v>36</v>
      </c>
      <c r="G363" t="str">
        <f t="shared" si="37"/>
        <v>Eden Juicy Apple 01-USA</v>
      </c>
      <c r="H363">
        <f t="shared" si="38"/>
        <v>13200</v>
      </c>
      <c r="I363">
        <f>VLOOKUP(G363,Table4[[SKU-COUNTRY2]:[Price in USD]],2,FALSE)</f>
        <v>105</v>
      </c>
      <c r="J363">
        <f>VLOOKUP(G363,Sheet3!$C$82:$I$100,MATCH(E363,Sheet3!C$82:H$82,0),FALSE) * VLOOKUP(C363,Table8[],2,0)</f>
        <v>1386000.0000000002</v>
      </c>
      <c r="K363">
        <f>ROUND(J363*VLOOKUP(F363,Sheet3!$A$106:$C$111,2,FALSE),0)</f>
        <v>429660</v>
      </c>
      <c r="L363">
        <f t="shared" si="35"/>
        <v>956340.00000000023</v>
      </c>
      <c r="M363">
        <f t="shared" si="36"/>
        <v>69</v>
      </c>
      <c r="N363" t="str">
        <f t="shared" si="39"/>
        <v>No</v>
      </c>
      <c r="O363">
        <f t="shared" si="40"/>
        <v>0</v>
      </c>
      <c r="P363" t="str">
        <f t="shared" si="41"/>
        <v>None</v>
      </c>
      <c r="Q363" t="s">
        <v>124</v>
      </c>
    </row>
    <row r="364" spans="1:17" x14ac:dyDescent="0.3">
      <c r="A364">
        <v>363</v>
      </c>
      <c r="B364" t="s">
        <v>20</v>
      </c>
      <c r="C364" s="1">
        <v>45809</v>
      </c>
      <c r="D364" t="s">
        <v>28</v>
      </c>
      <c r="E364" t="s">
        <v>32</v>
      </c>
      <c r="F364" s="2" t="s">
        <v>37</v>
      </c>
      <c r="G364" t="str">
        <f t="shared" si="37"/>
        <v>Oudgasm Tobacco Oud 04-USA</v>
      </c>
      <c r="H364">
        <f t="shared" si="38"/>
        <v>8910</v>
      </c>
      <c r="I364">
        <f>VLOOKUP(G364,Table4[[SKU-COUNTRY2]:[Price in USD]],2,FALSE)</f>
        <v>140</v>
      </c>
      <c r="J364">
        <f>VLOOKUP(G364,Sheet3!$C$82:$I$100,MATCH(E364,Sheet3!C$82:H$82,0),FALSE) * VLOOKUP(C364,Table8[],2,0)</f>
        <v>1247400</v>
      </c>
      <c r="K364">
        <f>ROUND(J364*VLOOKUP(F364,Sheet3!$A$106:$C$111,2,FALSE),0)</f>
        <v>436590</v>
      </c>
      <c r="L364">
        <f t="shared" si="35"/>
        <v>810810</v>
      </c>
      <c r="M364">
        <f t="shared" si="36"/>
        <v>65</v>
      </c>
      <c r="N364" t="str">
        <f t="shared" si="39"/>
        <v>No</v>
      </c>
      <c r="O364">
        <f t="shared" si="40"/>
        <v>0</v>
      </c>
      <c r="P364" t="str">
        <f t="shared" si="41"/>
        <v>None</v>
      </c>
      <c r="Q364" t="s">
        <v>124</v>
      </c>
    </row>
    <row r="365" spans="1:17" x14ac:dyDescent="0.3">
      <c r="A365">
        <v>364</v>
      </c>
      <c r="B365" t="s">
        <v>20</v>
      </c>
      <c r="C365" s="1">
        <v>45809</v>
      </c>
      <c r="D365" t="s">
        <v>28</v>
      </c>
      <c r="E365" t="s">
        <v>32</v>
      </c>
      <c r="F365" s="2" t="s">
        <v>38</v>
      </c>
      <c r="G365" t="str">
        <f t="shared" si="37"/>
        <v>Yum Pistachio Gelato 33-USA</v>
      </c>
      <c r="H365">
        <f t="shared" si="38"/>
        <v>7920</v>
      </c>
      <c r="I365">
        <f>VLOOKUP(G365,Table4[[SKU-COUNTRY2]:[Price in USD]],2,FALSE)</f>
        <v>105</v>
      </c>
      <c r="J365">
        <f>VLOOKUP(G365,Sheet3!$C$82:$I$100,MATCH(E365,Sheet3!C$82:H$82,0),FALSE) * VLOOKUP(C365,Table8[],2,0)</f>
        <v>831600.00000000012</v>
      </c>
      <c r="K365">
        <f>ROUND(J365*VLOOKUP(F365,Sheet3!$A$106:$C$111,2,FALSE),0)</f>
        <v>257796</v>
      </c>
      <c r="L365">
        <f t="shared" si="35"/>
        <v>573804.00000000012</v>
      </c>
      <c r="M365">
        <f t="shared" si="36"/>
        <v>69</v>
      </c>
      <c r="N365" t="str">
        <f t="shared" si="39"/>
        <v>No</v>
      </c>
      <c r="O365">
        <f t="shared" si="40"/>
        <v>0</v>
      </c>
      <c r="P365" t="str">
        <f t="shared" si="41"/>
        <v>None</v>
      </c>
      <c r="Q365" t="s">
        <v>124</v>
      </c>
    </row>
    <row r="366" spans="1:17" x14ac:dyDescent="0.3">
      <c r="A366">
        <v>365</v>
      </c>
      <c r="B366" t="s">
        <v>20</v>
      </c>
      <c r="C366" s="1">
        <v>45809</v>
      </c>
      <c r="D366" t="s">
        <v>28</v>
      </c>
      <c r="E366" t="s">
        <v>32</v>
      </c>
      <c r="F366" s="2" t="s">
        <v>39</v>
      </c>
      <c r="G366" t="str">
        <f t="shared" si="37"/>
        <v>Freedom Musk Santal 34-USA</v>
      </c>
      <c r="H366">
        <f t="shared" si="38"/>
        <v>6600</v>
      </c>
      <c r="I366">
        <f>VLOOKUP(G366,Table4[[SKU-COUNTRY2]:[Price in USD]],2,FALSE)</f>
        <v>105</v>
      </c>
      <c r="J366">
        <f>VLOOKUP(G366,Sheet3!$C$82:$I$100,MATCH(E366,Sheet3!C$82:H$82,0),FALSE) * VLOOKUP(C366,Table8[],2,0)</f>
        <v>693000.00000000012</v>
      </c>
      <c r="K366">
        <f>ROUND(J366*VLOOKUP(F366,Sheet3!$A$106:$C$111,2,FALSE),0)</f>
        <v>221760</v>
      </c>
      <c r="L366">
        <f t="shared" si="35"/>
        <v>471240.00000000012</v>
      </c>
      <c r="M366">
        <f t="shared" si="36"/>
        <v>68</v>
      </c>
      <c r="N366" t="str">
        <f t="shared" si="39"/>
        <v>No</v>
      </c>
      <c r="O366">
        <f t="shared" si="40"/>
        <v>0</v>
      </c>
      <c r="P366" t="str">
        <f t="shared" si="41"/>
        <v>None</v>
      </c>
      <c r="Q366" t="s">
        <v>124</v>
      </c>
    </row>
    <row r="367" spans="1:17" x14ac:dyDescent="0.3">
      <c r="A367">
        <v>366</v>
      </c>
      <c r="B367" t="s">
        <v>20</v>
      </c>
      <c r="C367" s="1">
        <v>45809</v>
      </c>
      <c r="D367" t="s">
        <v>28</v>
      </c>
      <c r="E367" t="s">
        <v>32</v>
      </c>
      <c r="F367" s="2" t="s">
        <v>40</v>
      </c>
      <c r="G367" t="str">
        <f t="shared" si="37"/>
        <v>Musk 12-USA</v>
      </c>
      <c r="H367">
        <f t="shared" si="38"/>
        <v>3300</v>
      </c>
      <c r="I367">
        <f>VLOOKUP(G367,Table4[[SKU-COUNTRY2]:[Price in USD]],2,FALSE)</f>
        <v>105</v>
      </c>
      <c r="J367">
        <f>VLOOKUP(G367,Sheet3!$C$82:$I$100,MATCH(E367,Sheet3!C$82:H$82,0),FALSE) * VLOOKUP(C367,Table8[],2,0)</f>
        <v>346500.00000000006</v>
      </c>
      <c r="K367">
        <f>ROUND(J367*VLOOKUP(F367,Sheet3!$A$106:$C$111,2,FALSE),0)</f>
        <v>103950</v>
      </c>
      <c r="L367">
        <f t="shared" si="35"/>
        <v>242550.00000000006</v>
      </c>
      <c r="M367">
        <f t="shared" si="36"/>
        <v>70</v>
      </c>
      <c r="N367" t="str">
        <f t="shared" si="39"/>
        <v>No</v>
      </c>
      <c r="O367">
        <f t="shared" si="40"/>
        <v>0</v>
      </c>
      <c r="P367" t="str">
        <f t="shared" si="41"/>
        <v>None</v>
      </c>
      <c r="Q367" t="s">
        <v>124</v>
      </c>
    </row>
    <row r="368" spans="1:17" x14ac:dyDescent="0.3">
      <c r="A368">
        <v>367</v>
      </c>
      <c r="B368" t="s">
        <v>20</v>
      </c>
      <c r="C368" s="1">
        <v>45809</v>
      </c>
      <c r="D368" t="s">
        <v>28</v>
      </c>
      <c r="E368" t="s">
        <v>31</v>
      </c>
      <c r="F368" s="2" t="s">
        <v>35</v>
      </c>
      <c r="G368" t="str">
        <f t="shared" si="37"/>
        <v>Vanilla 28-USA</v>
      </c>
      <c r="H368">
        <f t="shared" si="38"/>
        <v>10500</v>
      </c>
      <c r="I368">
        <f>VLOOKUP(G368,Table4[[SKU-COUNTRY2]:[Price in USD]],2,FALSE)</f>
        <v>105</v>
      </c>
      <c r="J368">
        <f>VLOOKUP(G368,Sheet3!$C$82:$I$100,MATCH(E368,Sheet3!C$82:H$82,0),FALSE) * VLOOKUP(C368,Table8[],2,0)</f>
        <v>1102500</v>
      </c>
      <c r="K368">
        <f>ROUND(J368*VLOOKUP(F368,Sheet3!$A$106:$C$111,2,FALSE),0)</f>
        <v>330750</v>
      </c>
      <c r="L368">
        <f t="shared" si="35"/>
        <v>771750</v>
      </c>
      <c r="M368">
        <f t="shared" si="36"/>
        <v>70</v>
      </c>
      <c r="N368" t="str">
        <f t="shared" si="39"/>
        <v>No</v>
      </c>
      <c r="O368">
        <f t="shared" si="40"/>
        <v>0</v>
      </c>
      <c r="P368" t="str">
        <f t="shared" si="41"/>
        <v>None</v>
      </c>
      <c r="Q368" t="s">
        <v>124</v>
      </c>
    </row>
    <row r="369" spans="1:17" x14ac:dyDescent="0.3">
      <c r="A369">
        <v>368</v>
      </c>
      <c r="B369" t="s">
        <v>20</v>
      </c>
      <c r="C369" s="1">
        <v>45809</v>
      </c>
      <c r="D369" t="s">
        <v>28</v>
      </c>
      <c r="E369" t="s">
        <v>31</v>
      </c>
      <c r="F369" s="2" t="s">
        <v>36</v>
      </c>
      <c r="G369" t="str">
        <f t="shared" si="37"/>
        <v>Eden Juicy Apple 01-USA</v>
      </c>
      <c r="H369">
        <f t="shared" si="38"/>
        <v>6000</v>
      </c>
      <c r="I369">
        <f>VLOOKUP(G369,Table4[[SKU-COUNTRY2]:[Price in USD]],2,FALSE)</f>
        <v>105</v>
      </c>
      <c r="J369">
        <f>VLOOKUP(G369,Sheet3!$C$82:$I$100,MATCH(E369,Sheet3!C$82:H$82,0),FALSE) * VLOOKUP(C369,Table8[],2,0)</f>
        <v>630000</v>
      </c>
      <c r="K369">
        <f>ROUND(J369*VLOOKUP(F369,Sheet3!$A$106:$C$111,2,FALSE),0)</f>
        <v>195300</v>
      </c>
      <c r="L369">
        <f t="shared" si="35"/>
        <v>434700</v>
      </c>
      <c r="M369">
        <f t="shared" si="36"/>
        <v>69</v>
      </c>
      <c r="N369" t="str">
        <f t="shared" si="39"/>
        <v>No</v>
      </c>
      <c r="O369">
        <f t="shared" si="40"/>
        <v>0</v>
      </c>
      <c r="P369" t="str">
        <f t="shared" si="41"/>
        <v>None</v>
      </c>
      <c r="Q369" t="s">
        <v>124</v>
      </c>
    </row>
    <row r="370" spans="1:17" x14ac:dyDescent="0.3">
      <c r="A370">
        <v>369</v>
      </c>
      <c r="B370" t="s">
        <v>20</v>
      </c>
      <c r="C370" s="1">
        <v>45809</v>
      </c>
      <c r="D370" t="s">
        <v>28</v>
      </c>
      <c r="E370" t="s">
        <v>31</v>
      </c>
      <c r="F370" s="2" t="s">
        <v>37</v>
      </c>
      <c r="G370" t="str">
        <f t="shared" si="37"/>
        <v>Oudgasm Tobacco Oud 04-USA</v>
      </c>
      <c r="H370">
        <f t="shared" si="38"/>
        <v>4050</v>
      </c>
      <c r="I370">
        <f>VLOOKUP(G370,Table4[[SKU-COUNTRY2]:[Price in USD]],2,FALSE)</f>
        <v>140</v>
      </c>
      <c r="J370">
        <f>VLOOKUP(G370,Sheet3!$C$82:$I$100,MATCH(E370,Sheet3!C$82:H$82,0),FALSE) * VLOOKUP(C370,Table8[],2,0)</f>
        <v>567000</v>
      </c>
      <c r="K370">
        <f>ROUND(J370*VLOOKUP(F370,Sheet3!$A$106:$C$111,2,FALSE),0)</f>
        <v>198450</v>
      </c>
      <c r="L370">
        <f t="shared" si="35"/>
        <v>368550</v>
      </c>
      <c r="M370">
        <f t="shared" si="36"/>
        <v>65</v>
      </c>
      <c r="N370" t="str">
        <f t="shared" si="39"/>
        <v>No</v>
      </c>
      <c r="O370">
        <f t="shared" si="40"/>
        <v>0</v>
      </c>
      <c r="P370" t="str">
        <f t="shared" si="41"/>
        <v>None</v>
      </c>
      <c r="Q370" t="s">
        <v>124</v>
      </c>
    </row>
    <row r="371" spans="1:17" x14ac:dyDescent="0.3">
      <c r="A371">
        <v>370</v>
      </c>
      <c r="B371" t="s">
        <v>20</v>
      </c>
      <c r="C371" s="1">
        <v>45809</v>
      </c>
      <c r="D371" t="s">
        <v>28</v>
      </c>
      <c r="E371" t="s">
        <v>31</v>
      </c>
      <c r="F371" s="2" t="s">
        <v>38</v>
      </c>
      <c r="G371" t="str">
        <f t="shared" si="37"/>
        <v>Yum Pistachio Gelato 33-USA</v>
      </c>
      <c r="H371">
        <f t="shared" si="38"/>
        <v>3600</v>
      </c>
      <c r="I371">
        <f>VLOOKUP(G371,Table4[[SKU-COUNTRY2]:[Price in USD]],2,FALSE)</f>
        <v>105</v>
      </c>
      <c r="J371">
        <f>VLOOKUP(G371,Sheet3!$C$82:$I$100,MATCH(E371,Sheet3!C$82:H$82,0),FALSE) * VLOOKUP(C371,Table8[],2,0)</f>
        <v>378000</v>
      </c>
      <c r="K371">
        <f>ROUND(J371*VLOOKUP(F371,Sheet3!$A$106:$C$111,2,FALSE),0)</f>
        <v>117180</v>
      </c>
      <c r="L371">
        <f t="shared" si="35"/>
        <v>260820</v>
      </c>
      <c r="M371">
        <f t="shared" si="36"/>
        <v>69</v>
      </c>
      <c r="N371" t="str">
        <f t="shared" si="39"/>
        <v>No</v>
      </c>
      <c r="O371">
        <f t="shared" si="40"/>
        <v>0</v>
      </c>
      <c r="P371" t="str">
        <f t="shared" si="41"/>
        <v>None</v>
      </c>
      <c r="Q371" t="s">
        <v>124</v>
      </c>
    </row>
    <row r="372" spans="1:17" x14ac:dyDescent="0.3">
      <c r="A372">
        <v>371</v>
      </c>
      <c r="B372" t="s">
        <v>20</v>
      </c>
      <c r="C372" s="1">
        <v>45809</v>
      </c>
      <c r="D372" t="s">
        <v>28</v>
      </c>
      <c r="E372" t="s">
        <v>31</v>
      </c>
      <c r="F372" s="2" t="s">
        <v>39</v>
      </c>
      <c r="G372" t="str">
        <f t="shared" si="37"/>
        <v>Freedom Musk Santal 34-USA</v>
      </c>
      <c r="H372">
        <f t="shared" si="38"/>
        <v>3000</v>
      </c>
      <c r="I372">
        <f>VLOOKUP(G372,Table4[[SKU-COUNTRY2]:[Price in USD]],2,FALSE)</f>
        <v>105</v>
      </c>
      <c r="J372">
        <f>VLOOKUP(G372,Sheet3!$C$82:$I$100,MATCH(E372,Sheet3!C$82:H$82,0),FALSE) * VLOOKUP(C372,Table8[],2,0)</f>
        <v>315000</v>
      </c>
      <c r="K372">
        <f>ROUND(J372*VLOOKUP(F372,Sheet3!$A$106:$C$111,2,FALSE),0)</f>
        <v>100800</v>
      </c>
      <c r="L372">
        <f t="shared" si="35"/>
        <v>214200</v>
      </c>
      <c r="M372">
        <f t="shared" si="36"/>
        <v>68</v>
      </c>
      <c r="N372" t="str">
        <f t="shared" si="39"/>
        <v>No</v>
      </c>
      <c r="O372">
        <f t="shared" si="40"/>
        <v>0</v>
      </c>
      <c r="P372" t="str">
        <f t="shared" si="41"/>
        <v>None</v>
      </c>
      <c r="Q372" t="s">
        <v>124</v>
      </c>
    </row>
    <row r="373" spans="1:17" x14ac:dyDescent="0.3">
      <c r="A373">
        <v>372</v>
      </c>
      <c r="B373" t="s">
        <v>20</v>
      </c>
      <c r="C373" s="1">
        <v>45809</v>
      </c>
      <c r="D373" t="s">
        <v>28</v>
      </c>
      <c r="E373" t="s">
        <v>31</v>
      </c>
      <c r="F373" s="2" t="s">
        <v>40</v>
      </c>
      <c r="G373" t="str">
        <f t="shared" si="37"/>
        <v>Musk 12-USA</v>
      </c>
      <c r="H373">
        <f t="shared" si="38"/>
        <v>1500</v>
      </c>
      <c r="I373">
        <f>VLOOKUP(G373,Table4[[SKU-COUNTRY2]:[Price in USD]],2,FALSE)</f>
        <v>105</v>
      </c>
      <c r="J373">
        <f>VLOOKUP(G373,Sheet3!$C$82:$I$100,MATCH(E373,Sheet3!C$82:H$82,0),FALSE) * VLOOKUP(C373,Table8[],2,0)</f>
        <v>157500</v>
      </c>
      <c r="K373">
        <f>ROUND(J373*VLOOKUP(F373,Sheet3!$A$106:$C$111,2,FALSE),0)</f>
        <v>47250</v>
      </c>
      <c r="L373">
        <f t="shared" si="35"/>
        <v>110250</v>
      </c>
      <c r="M373">
        <f t="shared" si="36"/>
        <v>70</v>
      </c>
      <c r="N373" t="str">
        <f t="shared" si="39"/>
        <v>No</v>
      </c>
      <c r="O373">
        <f t="shared" si="40"/>
        <v>0</v>
      </c>
      <c r="P373" t="str">
        <f t="shared" si="41"/>
        <v>None</v>
      </c>
      <c r="Q373" t="s">
        <v>124</v>
      </c>
    </row>
    <row r="374" spans="1:17" x14ac:dyDescent="0.3">
      <c r="A374">
        <v>373</v>
      </c>
      <c r="B374" t="s">
        <v>20</v>
      </c>
      <c r="C374" s="1">
        <v>45809</v>
      </c>
      <c r="D374" t="s">
        <v>28</v>
      </c>
      <c r="E374" t="s">
        <v>33</v>
      </c>
      <c r="F374" s="2" t="s">
        <v>35</v>
      </c>
      <c r="G374" t="str">
        <f t="shared" si="37"/>
        <v>Vanilla 28-USA</v>
      </c>
      <c r="H374">
        <f t="shared" si="38"/>
        <v>5040</v>
      </c>
      <c r="I374">
        <f>VLOOKUP(G374,Table4[[SKU-COUNTRY2]:[Price in USD]],2,FALSE)</f>
        <v>105</v>
      </c>
      <c r="J374">
        <f>VLOOKUP(G374,Sheet3!$C$82:$I$100,MATCH(E374,Sheet3!C$82:H$82,0),FALSE) * VLOOKUP(C374,Table8[],2,0)</f>
        <v>529200</v>
      </c>
      <c r="K374">
        <f>ROUND(J374*VLOOKUP(F374,Sheet3!$A$106:$C$111,2,FALSE),0)</f>
        <v>158760</v>
      </c>
      <c r="L374">
        <f t="shared" si="35"/>
        <v>370440</v>
      </c>
      <c r="M374">
        <f t="shared" si="36"/>
        <v>70</v>
      </c>
      <c r="N374" t="str">
        <f t="shared" si="39"/>
        <v>No</v>
      </c>
      <c r="O374">
        <f t="shared" si="40"/>
        <v>0</v>
      </c>
      <c r="P374" t="str">
        <f t="shared" si="41"/>
        <v>None</v>
      </c>
      <c r="Q374" t="s">
        <v>124</v>
      </c>
    </row>
    <row r="375" spans="1:17" x14ac:dyDescent="0.3">
      <c r="A375">
        <v>374</v>
      </c>
      <c r="B375" t="s">
        <v>20</v>
      </c>
      <c r="C375" s="1">
        <v>45809</v>
      </c>
      <c r="D375" t="s">
        <v>28</v>
      </c>
      <c r="E375" t="s">
        <v>33</v>
      </c>
      <c r="F375" s="2" t="s">
        <v>36</v>
      </c>
      <c r="G375" t="str">
        <f t="shared" si="37"/>
        <v>Eden Juicy Apple 01-USA</v>
      </c>
      <c r="H375">
        <f t="shared" si="38"/>
        <v>2880</v>
      </c>
      <c r="I375">
        <f>VLOOKUP(G375,Table4[[SKU-COUNTRY2]:[Price in USD]],2,FALSE)</f>
        <v>105</v>
      </c>
      <c r="J375">
        <f>VLOOKUP(G375,Sheet3!$C$82:$I$100,MATCH(E375,Sheet3!C$82:H$82,0),FALSE) * VLOOKUP(C375,Table8[],2,0)</f>
        <v>302400</v>
      </c>
      <c r="K375">
        <f>ROUND(J375*VLOOKUP(F375,Sheet3!$A$106:$C$111,2,FALSE),0)</f>
        <v>93744</v>
      </c>
      <c r="L375">
        <f t="shared" si="35"/>
        <v>208656</v>
      </c>
      <c r="M375">
        <f t="shared" si="36"/>
        <v>69</v>
      </c>
      <c r="N375" t="str">
        <f t="shared" si="39"/>
        <v>No</v>
      </c>
      <c r="O375">
        <f t="shared" si="40"/>
        <v>0</v>
      </c>
      <c r="P375" t="str">
        <f t="shared" si="41"/>
        <v>None</v>
      </c>
      <c r="Q375" t="s">
        <v>124</v>
      </c>
    </row>
    <row r="376" spans="1:17" x14ac:dyDescent="0.3">
      <c r="A376">
        <v>375</v>
      </c>
      <c r="B376" t="s">
        <v>20</v>
      </c>
      <c r="C376" s="1">
        <v>45809</v>
      </c>
      <c r="D376" t="s">
        <v>28</v>
      </c>
      <c r="E376" t="s">
        <v>33</v>
      </c>
      <c r="F376" s="2" t="s">
        <v>37</v>
      </c>
      <c r="G376" t="str">
        <f t="shared" si="37"/>
        <v>Oudgasm Tobacco Oud 04-USA</v>
      </c>
      <c r="H376">
        <f t="shared" si="38"/>
        <v>1944</v>
      </c>
      <c r="I376">
        <f>VLOOKUP(G376,Table4[[SKU-COUNTRY2]:[Price in USD]],2,FALSE)</f>
        <v>140</v>
      </c>
      <c r="J376">
        <f>VLOOKUP(G376,Sheet3!$C$82:$I$100,MATCH(E376,Sheet3!C$82:H$82,0),FALSE) * VLOOKUP(C376,Table8[],2,0)</f>
        <v>272160</v>
      </c>
      <c r="K376">
        <f>ROUND(J376*VLOOKUP(F376,Sheet3!$A$106:$C$111,2,FALSE),0)</f>
        <v>95256</v>
      </c>
      <c r="L376">
        <f t="shared" si="35"/>
        <v>176904</v>
      </c>
      <c r="M376">
        <f t="shared" si="36"/>
        <v>65</v>
      </c>
      <c r="N376" t="str">
        <f t="shared" si="39"/>
        <v>No</v>
      </c>
      <c r="O376">
        <f t="shared" si="40"/>
        <v>0</v>
      </c>
      <c r="P376" t="str">
        <f t="shared" si="41"/>
        <v>None</v>
      </c>
      <c r="Q376" t="s">
        <v>124</v>
      </c>
    </row>
    <row r="377" spans="1:17" x14ac:dyDescent="0.3">
      <c r="A377">
        <v>376</v>
      </c>
      <c r="B377" t="s">
        <v>20</v>
      </c>
      <c r="C377" s="1">
        <v>45809</v>
      </c>
      <c r="D377" t="s">
        <v>28</v>
      </c>
      <c r="E377" t="s">
        <v>33</v>
      </c>
      <c r="F377" s="2" t="s">
        <v>38</v>
      </c>
      <c r="G377" t="str">
        <f t="shared" si="37"/>
        <v>Yum Pistachio Gelato 33-USA</v>
      </c>
      <c r="H377">
        <f t="shared" si="38"/>
        <v>1728</v>
      </c>
      <c r="I377">
        <f>VLOOKUP(G377,Table4[[SKU-COUNTRY2]:[Price in USD]],2,FALSE)</f>
        <v>105</v>
      </c>
      <c r="J377">
        <f>VLOOKUP(G377,Sheet3!$C$82:$I$100,MATCH(E377,Sheet3!C$82:H$82,0),FALSE) * VLOOKUP(C377,Table8[],2,0)</f>
        <v>181440</v>
      </c>
      <c r="K377">
        <f>ROUND(J377*VLOOKUP(F377,Sheet3!$A$106:$C$111,2,FALSE),0)</f>
        <v>56246</v>
      </c>
      <c r="L377">
        <f t="shared" si="35"/>
        <v>125194</v>
      </c>
      <c r="M377">
        <f t="shared" si="36"/>
        <v>69</v>
      </c>
      <c r="N377" t="str">
        <f t="shared" si="39"/>
        <v>No</v>
      </c>
      <c r="O377">
        <f t="shared" si="40"/>
        <v>0</v>
      </c>
      <c r="P377" t="str">
        <f t="shared" si="41"/>
        <v>None</v>
      </c>
      <c r="Q377" t="s">
        <v>124</v>
      </c>
    </row>
    <row r="378" spans="1:17" x14ac:dyDescent="0.3">
      <c r="A378">
        <v>377</v>
      </c>
      <c r="B378" t="s">
        <v>20</v>
      </c>
      <c r="C378" s="1">
        <v>45809</v>
      </c>
      <c r="D378" t="s">
        <v>28</v>
      </c>
      <c r="E378" t="s">
        <v>33</v>
      </c>
      <c r="F378" s="2" t="s">
        <v>39</v>
      </c>
      <c r="G378" t="str">
        <f t="shared" si="37"/>
        <v>Freedom Musk Santal 34-USA</v>
      </c>
      <c r="H378">
        <f t="shared" si="38"/>
        <v>1440</v>
      </c>
      <c r="I378">
        <f>VLOOKUP(G378,Table4[[SKU-COUNTRY2]:[Price in USD]],2,FALSE)</f>
        <v>105</v>
      </c>
      <c r="J378">
        <f>VLOOKUP(G378,Sheet3!$C$82:$I$100,MATCH(E378,Sheet3!C$82:H$82,0),FALSE) * VLOOKUP(C378,Table8[],2,0)</f>
        <v>151200</v>
      </c>
      <c r="K378">
        <f>ROUND(J378*VLOOKUP(F378,Sheet3!$A$106:$C$111,2,FALSE),0)</f>
        <v>48384</v>
      </c>
      <c r="L378">
        <f t="shared" si="35"/>
        <v>102816</v>
      </c>
      <c r="M378">
        <f t="shared" si="36"/>
        <v>68</v>
      </c>
      <c r="N378" t="str">
        <f t="shared" si="39"/>
        <v>No</v>
      </c>
      <c r="O378">
        <f t="shared" si="40"/>
        <v>0</v>
      </c>
      <c r="P378" t="str">
        <f t="shared" si="41"/>
        <v>None</v>
      </c>
      <c r="Q378" t="s">
        <v>124</v>
      </c>
    </row>
    <row r="379" spans="1:17" x14ac:dyDescent="0.3">
      <c r="A379">
        <v>378</v>
      </c>
      <c r="B379" t="s">
        <v>20</v>
      </c>
      <c r="C379" s="1">
        <v>45809</v>
      </c>
      <c r="D379" t="s">
        <v>28</v>
      </c>
      <c r="E379" t="s">
        <v>33</v>
      </c>
      <c r="F379" s="2" t="s">
        <v>40</v>
      </c>
      <c r="G379" t="str">
        <f t="shared" si="37"/>
        <v>Musk 12-USA</v>
      </c>
      <c r="H379">
        <f t="shared" si="38"/>
        <v>720</v>
      </c>
      <c r="I379">
        <f>VLOOKUP(G379,Table4[[SKU-COUNTRY2]:[Price in USD]],2,FALSE)</f>
        <v>105</v>
      </c>
      <c r="J379">
        <f>VLOOKUP(G379,Sheet3!$C$82:$I$100,MATCH(E379,Sheet3!C$82:H$82,0),FALSE) * VLOOKUP(C379,Table8[],2,0)</f>
        <v>75600</v>
      </c>
      <c r="K379">
        <f>ROUND(J379*VLOOKUP(F379,Sheet3!$A$106:$C$111,2,FALSE),0)</f>
        <v>22680</v>
      </c>
      <c r="L379">
        <f t="shared" si="35"/>
        <v>52920</v>
      </c>
      <c r="M379">
        <f t="shared" si="36"/>
        <v>70</v>
      </c>
      <c r="N379" t="str">
        <f t="shared" si="39"/>
        <v>No</v>
      </c>
      <c r="O379">
        <f t="shared" si="40"/>
        <v>0</v>
      </c>
      <c r="P379" t="str">
        <f t="shared" si="41"/>
        <v>None</v>
      </c>
      <c r="Q379" t="s">
        <v>124</v>
      </c>
    </row>
    <row r="380" spans="1:17" x14ac:dyDescent="0.3">
      <c r="A380">
        <v>379</v>
      </c>
      <c r="B380" t="s">
        <v>20</v>
      </c>
      <c r="C380" s="1">
        <v>45809</v>
      </c>
      <c r="D380" t="s">
        <v>28</v>
      </c>
      <c r="E380" t="s">
        <v>34</v>
      </c>
      <c r="F380" s="2" t="s">
        <v>35</v>
      </c>
      <c r="G380" t="str">
        <f t="shared" si="37"/>
        <v>Vanilla 28-USA</v>
      </c>
      <c r="H380">
        <f t="shared" si="38"/>
        <v>3360</v>
      </c>
      <c r="I380">
        <f>VLOOKUP(G380,Table4[[SKU-COUNTRY2]:[Price in USD]],2,FALSE)</f>
        <v>105</v>
      </c>
      <c r="J380">
        <f>VLOOKUP(G380,Sheet3!$C$82:$I$100,MATCH(E380,Sheet3!C$82:H$82,0),FALSE) * VLOOKUP(C380,Table8[],2,0)</f>
        <v>352800</v>
      </c>
      <c r="K380">
        <f>ROUND(J380*VLOOKUP(F380,Sheet3!$A$106:$C$111,2,FALSE),0)</f>
        <v>105840</v>
      </c>
      <c r="L380">
        <f t="shared" si="35"/>
        <v>246960</v>
      </c>
      <c r="M380">
        <f t="shared" si="36"/>
        <v>70</v>
      </c>
      <c r="N380" t="str">
        <f t="shared" si="39"/>
        <v>No</v>
      </c>
      <c r="O380">
        <f t="shared" si="40"/>
        <v>0</v>
      </c>
      <c r="P380" t="str">
        <f t="shared" si="41"/>
        <v>None</v>
      </c>
      <c r="Q380" t="s">
        <v>124</v>
      </c>
    </row>
    <row r="381" spans="1:17" x14ac:dyDescent="0.3">
      <c r="A381">
        <v>380</v>
      </c>
      <c r="B381" t="s">
        <v>20</v>
      </c>
      <c r="C381" s="1">
        <v>45809</v>
      </c>
      <c r="D381" t="s">
        <v>28</v>
      </c>
      <c r="E381" t="s">
        <v>34</v>
      </c>
      <c r="F381" s="2" t="s">
        <v>36</v>
      </c>
      <c r="G381" t="str">
        <f t="shared" si="37"/>
        <v>Eden Juicy Apple 01-USA</v>
      </c>
      <c r="H381">
        <f t="shared" si="38"/>
        <v>1920</v>
      </c>
      <c r="I381">
        <f>VLOOKUP(G381,Table4[[SKU-COUNTRY2]:[Price in USD]],2,FALSE)</f>
        <v>105</v>
      </c>
      <c r="J381">
        <f>VLOOKUP(G381,Sheet3!$C$82:$I$100,MATCH(E381,Sheet3!C$82:H$82,0),FALSE) * VLOOKUP(C381,Table8[],2,0)</f>
        <v>201600</v>
      </c>
      <c r="K381">
        <f>ROUND(J381*VLOOKUP(F381,Sheet3!$A$106:$C$111,2,FALSE),0)</f>
        <v>62496</v>
      </c>
      <c r="L381">
        <f t="shared" si="35"/>
        <v>139104</v>
      </c>
      <c r="M381">
        <f t="shared" si="36"/>
        <v>69</v>
      </c>
      <c r="N381" t="str">
        <f t="shared" si="39"/>
        <v>No</v>
      </c>
      <c r="O381">
        <f t="shared" si="40"/>
        <v>0</v>
      </c>
      <c r="P381" t="str">
        <f t="shared" si="41"/>
        <v>None</v>
      </c>
      <c r="Q381" t="s">
        <v>124</v>
      </c>
    </row>
    <row r="382" spans="1:17" x14ac:dyDescent="0.3">
      <c r="A382">
        <v>381</v>
      </c>
      <c r="B382" t="s">
        <v>20</v>
      </c>
      <c r="C382" s="1">
        <v>45809</v>
      </c>
      <c r="D382" t="s">
        <v>28</v>
      </c>
      <c r="E382" t="s">
        <v>34</v>
      </c>
      <c r="F382" s="2" t="s">
        <v>37</v>
      </c>
      <c r="G382" t="str">
        <f t="shared" si="37"/>
        <v>Oudgasm Tobacco Oud 04-USA</v>
      </c>
      <c r="H382">
        <f t="shared" si="38"/>
        <v>1296</v>
      </c>
      <c r="I382">
        <f>VLOOKUP(G382,Table4[[SKU-COUNTRY2]:[Price in USD]],2,FALSE)</f>
        <v>140</v>
      </c>
      <c r="J382">
        <f>VLOOKUP(G382,Sheet3!$C$82:$I$100,MATCH(E382,Sheet3!C$82:H$82,0),FALSE) * VLOOKUP(C382,Table8[],2,0)</f>
        <v>181440</v>
      </c>
      <c r="K382">
        <f>ROUND(J382*VLOOKUP(F382,Sheet3!$A$106:$C$111,2,FALSE),0)</f>
        <v>63504</v>
      </c>
      <c r="L382">
        <f t="shared" si="35"/>
        <v>117936</v>
      </c>
      <c r="M382">
        <f t="shared" si="36"/>
        <v>65</v>
      </c>
      <c r="N382" t="str">
        <f t="shared" si="39"/>
        <v>No</v>
      </c>
      <c r="O382">
        <f t="shared" si="40"/>
        <v>0</v>
      </c>
      <c r="P382" t="str">
        <f t="shared" si="41"/>
        <v>None</v>
      </c>
      <c r="Q382" t="s">
        <v>124</v>
      </c>
    </row>
    <row r="383" spans="1:17" x14ac:dyDescent="0.3">
      <c r="A383">
        <v>382</v>
      </c>
      <c r="B383" t="s">
        <v>20</v>
      </c>
      <c r="C383" s="1">
        <v>45809</v>
      </c>
      <c r="D383" t="s">
        <v>28</v>
      </c>
      <c r="E383" t="s">
        <v>34</v>
      </c>
      <c r="F383" s="2" t="s">
        <v>38</v>
      </c>
      <c r="G383" t="str">
        <f t="shared" si="37"/>
        <v>Yum Pistachio Gelato 33-USA</v>
      </c>
      <c r="H383">
        <f t="shared" si="38"/>
        <v>1152</v>
      </c>
      <c r="I383">
        <f>VLOOKUP(G383,Table4[[SKU-COUNTRY2]:[Price in USD]],2,FALSE)</f>
        <v>105</v>
      </c>
      <c r="J383">
        <f>VLOOKUP(G383,Sheet3!$C$82:$I$100,MATCH(E383,Sheet3!C$82:H$82,0),FALSE) * VLOOKUP(C383,Table8[],2,0)</f>
        <v>120960</v>
      </c>
      <c r="K383">
        <f>ROUND(J383*VLOOKUP(F383,Sheet3!$A$106:$C$111,2,FALSE),0)</f>
        <v>37498</v>
      </c>
      <c r="L383">
        <f t="shared" si="35"/>
        <v>83462</v>
      </c>
      <c r="M383">
        <f t="shared" si="36"/>
        <v>69</v>
      </c>
      <c r="N383" t="str">
        <f t="shared" si="39"/>
        <v>No</v>
      </c>
      <c r="O383">
        <f t="shared" si="40"/>
        <v>0</v>
      </c>
      <c r="P383" t="str">
        <f t="shared" si="41"/>
        <v>None</v>
      </c>
      <c r="Q383" t="s">
        <v>124</v>
      </c>
    </row>
    <row r="384" spans="1:17" x14ac:dyDescent="0.3">
      <c r="A384">
        <v>383</v>
      </c>
      <c r="B384" t="s">
        <v>20</v>
      </c>
      <c r="C384" s="1">
        <v>45809</v>
      </c>
      <c r="D384" t="s">
        <v>28</v>
      </c>
      <c r="E384" t="s">
        <v>34</v>
      </c>
      <c r="F384" s="2" t="s">
        <v>39</v>
      </c>
      <c r="G384" t="str">
        <f t="shared" si="37"/>
        <v>Freedom Musk Santal 34-USA</v>
      </c>
      <c r="H384">
        <f t="shared" si="38"/>
        <v>960</v>
      </c>
      <c r="I384">
        <f>VLOOKUP(G384,Table4[[SKU-COUNTRY2]:[Price in USD]],2,FALSE)</f>
        <v>105</v>
      </c>
      <c r="J384">
        <f>VLOOKUP(G384,Sheet3!$C$82:$I$100,MATCH(E384,Sheet3!C$82:H$82,0),FALSE) * VLOOKUP(C384,Table8[],2,0)</f>
        <v>100800</v>
      </c>
      <c r="K384">
        <f>ROUND(J384*VLOOKUP(F384,Sheet3!$A$106:$C$111,2,FALSE),0)</f>
        <v>32256</v>
      </c>
      <c r="L384">
        <f t="shared" si="35"/>
        <v>68544</v>
      </c>
      <c r="M384">
        <f t="shared" si="36"/>
        <v>68</v>
      </c>
      <c r="N384" t="str">
        <f t="shared" si="39"/>
        <v>No</v>
      </c>
      <c r="O384">
        <f t="shared" si="40"/>
        <v>0</v>
      </c>
      <c r="P384" t="str">
        <f t="shared" si="41"/>
        <v>None</v>
      </c>
      <c r="Q384" t="s">
        <v>124</v>
      </c>
    </row>
    <row r="385" spans="1:17" x14ac:dyDescent="0.3">
      <c r="A385">
        <v>384</v>
      </c>
      <c r="B385" t="s">
        <v>20</v>
      </c>
      <c r="C385" s="1">
        <v>45809</v>
      </c>
      <c r="D385" t="s">
        <v>28</v>
      </c>
      <c r="E385" t="s">
        <v>34</v>
      </c>
      <c r="F385" s="2" t="s">
        <v>40</v>
      </c>
      <c r="G385" t="str">
        <f t="shared" si="37"/>
        <v>Musk 12-USA</v>
      </c>
      <c r="H385">
        <f t="shared" si="38"/>
        <v>480</v>
      </c>
      <c r="I385">
        <f>VLOOKUP(G385,Table4[[SKU-COUNTRY2]:[Price in USD]],2,FALSE)</f>
        <v>105</v>
      </c>
      <c r="J385">
        <f>VLOOKUP(G385,Sheet3!$C$82:$I$100,MATCH(E385,Sheet3!C$82:H$82,0),FALSE) * VLOOKUP(C385,Table8[],2,0)</f>
        <v>50400</v>
      </c>
      <c r="K385">
        <f>ROUND(J385*VLOOKUP(F385,Sheet3!$A$106:$C$111,2,FALSE),0)</f>
        <v>15120</v>
      </c>
      <c r="L385">
        <f t="shared" si="35"/>
        <v>35280</v>
      </c>
      <c r="M385">
        <f t="shared" si="36"/>
        <v>70</v>
      </c>
      <c r="N385" t="str">
        <f t="shared" si="39"/>
        <v>No</v>
      </c>
      <c r="O385">
        <f t="shared" si="40"/>
        <v>0</v>
      </c>
      <c r="P385" t="str">
        <f t="shared" si="41"/>
        <v>None</v>
      </c>
      <c r="Q385" t="s">
        <v>124</v>
      </c>
    </row>
    <row r="386" spans="1:17" x14ac:dyDescent="0.3">
      <c r="A386">
        <v>385</v>
      </c>
      <c r="B386" t="s">
        <v>20</v>
      </c>
      <c r="C386" s="1">
        <v>45809</v>
      </c>
      <c r="D386" t="s">
        <v>27</v>
      </c>
      <c r="E386" t="s">
        <v>32</v>
      </c>
      <c r="F386" s="2" t="s">
        <v>35</v>
      </c>
      <c r="G386" t="str">
        <f t="shared" si="37"/>
        <v>Vanilla 28-UK</v>
      </c>
      <c r="H386">
        <f t="shared" si="38"/>
        <v>2126</v>
      </c>
      <c r="I386">
        <f>VLOOKUP(G386,Table4[[SKU-COUNTRY2]:[Price in USD]],2,FALSE)</f>
        <v>101.6</v>
      </c>
      <c r="J386">
        <f>VLOOKUP(G386,Sheet3!$C$82:$I$100,MATCH(E386,Sheet3!C$82:H$82,0),FALSE) * VLOOKUP(C386,Table8[],2,0)</f>
        <v>216000</v>
      </c>
      <c r="K386">
        <f>ROUND(J386*VLOOKUP(F386,Sheet3!$A$106:$C$111,2,FALSE),0)</f>
        <v>64800</v>
      </c>
      <c r="L386">
        <f t="shared" ref="L386:L449" si="42">J386-K386</f>
        <v>151200</v>
      </c>
      <c r="M386">
        <f t="shared" ref="M386:M449" si="43">ROUND(L386/J386*100, 1)</f>
        <v>70</v>
      </c>
      <c r="N386" t="str">
        <f t="shared" si="39"/>
        <v>No</v>
      </c>
      <c r="O386">
        <f t="shared" si="40"/>
        <v>0</v>
      </c>
      <c r="P386" t="str">
        <f t="shared" si="41"/>
        <v>None</v>
      </c>
      <c r="Q386" t="s">
        <v>124</v>
      </c>
    </row>
    <row r="387" spans="1:17" x14ac:dyDescent="0.3">
      <c r="A387">
        <v>386</v>
      </c>
      <c r="B387" t="s">
        <v>20</v>
      </c>
      <c r="C387" s="1">
        <v>45809</v>
      </c>
      <c r="D387" t="s">
        <v>27</v>
      </c>
      <c r="E387" t="s">
        <v>32</v>
      </c>
      <c r="F387" s="2" t="s">
        <v>36</v>
      </c>
      <c r="G387" t="str">
        <f t="shared" ref="G387:G450" si="44">_xlfn.CONCAT(F387,"-",D387,)</f>
        <v>Eden Juicy Apple 01-UK</v>
      </c>
      <c r="H387">
        <f t="shared" ref="H387:H450" si="45">ROUND(J387/I387,0)</f>
        <v>1559</v>
      </c>
      <c r="I387">
        <f>VLOOKUP(G387,Table4[[SKU-COUNTRY2]:[Price in USD]],2,FALSE)</f>
        <v>101.6</v>
      </c>
      <c r="J387">
        <f>VLOOKUP(G387,Sheet3!$C$82:$I$100,MATCH(E387,Sheet3!C$82:H$82,0),FALSE) * VLOOKUP(C387,Table8[],2,0)</f>
        <v>158400</v>
      </c>
      <c r="K387">
        <f>ROUND(J387*VLOOKUP(F387,Sheet3!$A$106:$C$111,2,FALSE),0)</f>
        <v>49104</v>
      </c>
      <c r="L387">
        <f t="shared" si="42"/>
        <v>109296</v>
      </c>
      <c r="M387">
        <f t="shared" si="43"/>
        <v>69</v>
      </c>
      <c r="N387" t="str">
        <f t="shared" ref="N387:N450" si="46">IF(OR(
    MONTH(C387)=2,
    AND(MONTH(C387)=3, D387="UAE"),
    AND(MONTH(C387)=6, D387="UAE"),
    AND(MONTH(C387)=7, OR(D387="USA", D387="UK")),
    MONTH(C387)=9,
    AND(MONTH(C387)=11, OR(D387="USA", D387="UK"))
), "Yes", "No")</f>
        <v>No</v>
      </c>
      <c r="O387">
        <f t="shared" ref="O387:O450" si="47">IF(MONTH(C387)=2, 15,
IF(AND(MONTH(C387)=3, D387="UAE"), 20,
IF(AND(MONTH(C387)=6, D387="UAE"), 15,
IF(AND(MONTH(C387)=7, OR(D387="USA", D387="UK")), 20,
IF(AND(MONTH(C387)=11, OR(D387="USA", D387="UK")), 25,
0)))))</f>
        <v>0</v>
      </c>
      <c r="P387" t="str">
        <f t="shared" ref="P387:P450" si="48">IF(MONTH(C387)=2, "Valentine's Day",
IF(AND(MONTH(C387)=3, D387="UAE"), "Eid Al Fitr",
IF(AND(MONTH(C387)=6, D387="UAE"), "Eid Al Adha",
IF(AND(MONTH(C387)=7, OR(D387="USA", D387="UK")), "Summer Sale",
IF(MONTH(C387)=9, "Freedom Launch",
IF(AND(MONTH(C387)=11, OR(D387="USA", D387="UK")), "Black Friday",
"None"))))))</f>
        <v>None</v>
      </c>
      <c r="Q387" t="s">
        <v>124</v>
      </c>
    </row>
    <row r="388" spans="1:17" x14ac:dyDescent="0.3">
      <c r="A388">
        <v>387</v>
      </c>
      <c r="B388" t="s">
        <v>20</v>
      </c>
      <c r="C388" s="1">
        <v>45809</v>
      </c>
      <c r="D388" t="s">
        <v>27</v>
      </c>
      <c r="E388" t="s">
        <v>32</v>
      </c>
      <c r="F388" s="2" t="s">
        <v>37</v>
      </c>
      <c r="G388" t="str">
        <f t="shared" si="44"/>
        <v>Oudgasm Tobacco Oud 04-UK</v>
      </c>
      <c r="H388">
        <f t="shared" si="45"/>
        <v>858</v>
      </c>
      <c r="I388">
        <f>VLOOKUP(G388,Table4[[SKU-COUNTRY2]:[Price in USD]],2,FALSE)</f>
        <v>151.13</v>
      </c>
      <c r="J388">
        <f>VLOOKUP(G388,Sheet3!$C$82:$I$100,MATCH(E388,Sheet3!C$82:H$82,0),FALSE) * VLOOKUP(C388,Table8[],2,0)</f>
        <v>129600</v>
      </c>
      <c r="K388">
        <f>ROUND(J388*VLOOKUP(F388,Sheet3!$A$106:$C$111,2,FALSE),0)</f>
        <v>45360</v>
      </c>
      <c r="L388">
        <f t="shared" si="42"/>
        <v>84240</v>
      </c>
      <c r="M388">
        <f t="shared" si="43"/>
        <v>65</v>
      </c>
      <c r="N388" t="str">
        <f t="shared" si="46"/>
        <v>No</v>
      </c>
      <c r="O388">
        <f t="shared" si="47"/>
        <v>0</v>
      </c>
      <c r="P388" t="str">
        <f t="shared" si="48"/>
        <v>None</v>
      </c>
      <c r="Q388" t="s">
        <v>124</v>
      </c>
    </row>
    <row r="389" spans="1:17" x14ac:dyDescent="0.3">
      <c r="A389">
        <v>388</v>
      </c>
      <c r="B389" t="s">
        <v>20</v>
      </c>
      <c r="C389" s="1">
        <v>45809</v>
      </c>
      <c r="D389" t="s">
        <v>27</v>
      </c>
      <c r="E389" t="s">
        <v>32</v>
      </c>
      <c r="F389" s="2" t="s">
        <v>38</v>
      </c>
      <c r="G389" t="str">
        <f t="shared" si="44"/>
        <v>Yum Pistachio Gelato 33-UK</v>
      </c>
      <c r="H389">
        <f t="shared" si="45"/>
        <v>921</v>
      </c>
      <c r="I389">
        <f>VLOOKUP(G389,Table4[[SKU-COUNTRY2]:[Price in USD]],2,FALSE)</f>
        <v>101.6</v>
      </c>
      <c r="J389">
        <f>VLOOKUP(G389,Sheet3!$C$82:$I$100,MATCH(E389,Sheet3!C$82:H$82,0),FALSE) * VLOOKUP(C389,Table8[],2,0)</f>
        <v>93600</v>
      </c>
      <c r="K389">
        <f>ROUND(J389*VLOOKUP(F389,Sheet3!$A$106:$C$111,2,FALSE),0)</f>
        <v>29016</v>
      </c>
      <c r="L389">
        <f t="shared" si="42"/>
        <v>64584</v>
      </c>
      <c r="M389">
        <f t="shared" si="43"/>
        <v>69</v>
      </c>
      <c r="N389" t="str">
        <f t="shared" si="46"/>
        <v>No</v>
      </c>
      <c r="O389">
        <f t="shared" si="47"/>
        <v>0</v>
      </c>
      <c r="P389" t="str">
        <f t="shared" si="48"/>
        <v>None</v>
      </c>
      <c r="Q389" t="s">
        <v>124</v>
      </c>
    </row>
    <row r="390" spans="1:17" x14ac:dyDescent="0.3">
      <c r="A390">
        <v>389</v>
      </c>
      <c r="B390" t="s">
        <v>20</v>
      </c>
      <c r="C390" s="1">
        <v>45809</v>
      </c>
      <c r="D390" t="s">
        <v>27</v>
      </c>
      <c r="E390" t="s">
        <v>32</v>
      </c>
      <c r="F390" s="2" t="s">
        <v>39</v>
      </c>
      <c r="G390" t="str">
        <f t="shared" si="44"/>
        <v>Freedom Musk Santal 34-UK</v>
      </c>
      <c r="H390">
        <f t="shared" si="45"/>
        <v>709</v>
      </c>
      <c r="I390">
        <f>VLOOKUP(G390,Table4[[SKU-COUNTRY2]:[Price in USD]],2,FALSE)</f>
        <v>101.6</v>
      </c>
      <c r="J390">
        <f>VLOOKUP(G390,Sheet3!$C$82:$I$100,MATCH(E390,Sheet3!C$82:H$82,0),FALSE) * VLOOKUP(C390,Table8[],2,0)</f>
        <v>72000</v>
      </c>
      <c r="K390">
        <f>ROUND(J390*VLOOKUP(F390,Sheet3!$A$106:$C$111,2,FALSE),0)</f>
        <v>23040</v>
      </c>
      <c r="L390">
        <f t="shared" si="42"/>
        <v>48960</v>
      </c>
      <c r="M390">
        <f t="shared" si="43"/>
        <v>68</v>
      </c>
      <c r="N390" t="str">
        <f t="shared" si="46"/>
        <v>No</v>
      </c>
      <c r="O390">
        <f t="shared" si="47"/>
        <v>0</v>
      </c>
      <c r="P390" t="str">
        <f t="shared" si="48"/>
        <v>None</v>
      </c>
      <c r="Q390" t="s">
        <v>124</v>
      </c>
    </row>
    <row r="391" spans="1:17" x14ac:dyDescent="0.3">
      <c r="A391">
        <v>390</v>
      </c>
      <c r="B391" t="s">
        <v>20</v>
      </c>
      <c r="C391" s="1">
        <v>45809</v>
      </c>
      <c r="D391" t="s">
        <v>27</v>
      </c>
      <c r="E391" t="s">
        <v>32</v>
      </c>
      <c r="F391" s="2" t="s">
        <v>40</v>
      </c>
      <c r="G391" t="str">
        <f t="shared" si="44"/>
        <v>Musk 12-UK</v>
      </c>
      <c r="H391">
        <f t="shared" si="45"/>
        <v>496</v>
      </c>
      <c r="I391">
        <f>VLOOKUP(G391,Table4[[SKU-COUNTRY2]:[Price in USD]],2,FALSE)</f>
        <v>101.6</v>
      </c>
      <c r="J391">
        <f>VLOOKUP(G391,Sheet3!$C$82:$I$100,MATCH(E391,Sheet3!C$82:H$82,0),FALSE) * VLOOKUP(C391,Table8[],2,0)</f>
        <v>50400.000000000007</v>
      </c>
      <c r="K391">
        <f>ROUND(J391*VLOOKUP(F391,Sheet3!$A$106:$C$111,2,FALSE),0)</f>
        <v>15120</v>
      </c>
      <c r="L391">
        <f t="shared" si="42"/>
        <v>35280.000000000007</v>
      </c>
      <c r="M391">
        <f t="shared" si="43"/>
        <v>70</v>
      </c>
      <c r="N391" t="str">
        <f t="shared" si="46"/>
        <v>No</v>
      </c>
      <c r="O391">
        <f t="shared" si="47"/>
        <v>0</v>
      </c>
      <c r="P391" t="str">
        <f t="shared" si="48"/>
        <v>None</v>
      </c>
      <c r="Q391" t="s">
        <v>124</v>
      </c>
    </row>
    <row r="392" spans="1:17" x14ac:dyDescent="0.3">
      <c r="A392">
        <v>391</v>
      </c>
      <c r="B392" t="s">
        <v>20</v>
      </c>
      <c r="C392" s="1">
        <v>45809</v>
      </c>
      <c r="D392" t="s">
        <v>27</v>
      </c>
      <c r="E392" t="s">
        <v>31</v>
      </c>
      <c r="F392" s="2" t="s">
        <v>35</v>
      </c>
      <c r="G392" t="str">
        <f t="shared" si="44"/>
        <v>Vanilla 28-UK</v>
      </c>
      <c r="H392">
        <f t="shared" si="45"/>
        <v>1063</v>
      </c>
      <c r="I392">
        <f>VLOOKUP(G392,Table4[[SKU-COUNTRY2]:[Price in USD]],2,FALSE)</f>
        <v>101.6</v>
      </c>
      <c r="J392">
        <f>VLOOKUP(G392,Sheet3!$C$82:$I$100,MATCH(E392,Sheet3!C$82:H$82,0),FALSE) * VLOOKUP(C392,Table8[],2,0)</f>
        <v>108000</v>
      </c>
      <c r="K392">
        <f>ROUND(J392*VLOOKUP(F392,Sheet3!$A$106:$C$111,2,FALSE),0)</f>
        <v>32400</v>
      </c>
      <c r="L392">
        <f t="shared" si="42"/>
        <v>75600</v>
      </c>
      <c r="M392">
        <f t="shared" si="43"/>
        <v>70</v>
      </c>
      <c r="N392" t="str">
        <f t="shared" si="46"/>
        <v>No</v>
      </c>
      <c r="O392">
        <f t="shared" si="47"/>
        <v>0</v>
      </c>
      <c r="P392" t="str">
        <f t="shared" si="48"/>
        <v>None</v>
      </c>
      <c r="Q392" t="s">
        <v>124</v>
      </c>
    </row>
    <row r="393" spans="1:17" x14ac:dyDescent="0.3">
      <c r="A393">
        <v>392</v>
      </c>
      <c r="B393" t="s">
        <v>20</v>
      </c>
      <c r="C393" s="1">
        <v>45809</v>
      </c>
      <c r="D393" t="s">
        <v>27</v>
      </c>
      <c r="E393" t="s">
        <v>31</v>
      </c>
      <c r="F393" s="2" t="s">
        <v>36</v>
      </c>
      <c r="G393" t="str">
        <f t="shared" si="44"/>
        <v>Eden Juicy Apple 01-UK</v>
      </c>
      <c r="H393">
        <f t="shared" si="45"/>
        <v>780</v>
      </c>
      <c r="I393">
        <f>VLOOKUP(G393,Table4[[SKU-COUNTRY2]:[Price in USD]],2,FALSE)</f>
        <v>101.6</v>
      </c>
      <c r="J393">
        <f>VLOOKUP(G393,Sheet3!$C$82:$I$100,MATCH(E393,Sheet3!C$82:H$82,0),FALSE) * VLOOKUP(C393,Table8[],2,0)</f>
        <v>79200</v>
      </c>
      <c r="K393">
        <f>ROUND(J393*VLOOKUP(F393,Sheet3!$A$106:$C$111,2,FALSE),0)</f>
        <v>24552</v>
      </c>
      <c r="L393">
        <f t="shared" si="42"/>
        <v>54648</v>
      </c>
      <c r="M393">
        <f t="shared" si="43"/>
        <v>69</v>
      </c>
      <c r="N393" t="str">
        <f t="shared" si="46"/>
        <v>No</v>
      </c>
      <c r="O393">
        <f t="shared" si="47"/>
        <v>0</v>
      </c>
      <c r="P393" t="str">
        <f t="shared" si="48"/>
        <v>None</v>
      </c>
      <c r="Q393" t="s">
        <v>124</v>
      </c>
    </row>
    <row r="394" spans="1:17" x14ac:dyDescent="0.3">
      <c r="A394">
        <v>393</v>
      </c>
      <c r="B394" t="s">
        <v>20</v>
      </c>
      <c r="C394" s="1">
        <v>45809</v>
      </c>
      <c r="D394" t="s">
        <v>27</v>
      </c>
      <c r="E394" t="s">
        <v>31</v>
      </c>
      <c r="F394" s="2" t="s">
        <v>37</v>
      </c>
      <c r="G394" t="str">
        <f t="shared" si="44"/>
        <v>Oudgasm Tobacco Oud 04-UK</v>
      </c>
      <c r="H394">
        <f t="shared" si="45"/>
        <v>429</v>
      </c>
      <c r="I394">
        <f>VLOOKUP(G394,Table4[[SKU-COUNTRY2]:[Price in USD]],2,FALSE)</f>
        <v>151.13</v>
      </c>
      <c r="J394">
        <f>VLOOKUP(G394,Sheet3!$C$82:$I$100,MATCH(E394,Sheet3!C$82:H$82,0),FALSE) * VLOOKUP(C394,Table8[],2,0)</f>
        <v>64800</v>
      </c>
      <c r="K394">
        <f>ROUND(J394*VLOOKUP(F394,Sheet3!$A$106:$C$111,2,FALSE),0)</f>
        <v>22680</v>
      </c>
      <c r="L394">
        <f t="shared" si="42"/>
        <v>42120</v>
      </c>
      <c r="M394">
        <f t="shared" si="43"/>
        <v>65</v>
      </c>
      <c r="N394" t="str">
        <f t="shared" si="46"/>
        <v>No</v>
      </c>
      <c r="O394">
        <f t="shared" si="47"/>
        <v>0</v>
      </c>
      <c r="P394" t="str">
        <f t="shared" si="48"/>
        <v>None</v>
      </c>
      <c r="Q394" t="s">
        <v>124</v>
      </c>
    </row>
    <row r="395" spans="1:17" x14ac:dyDescent="0.3">
      <c r="A395">
        <v>394</v>
      </c>
      <c r="B395" t="s">
        <v>20</v>
      </c>
      <c r="C395" s="1">
        <v>45809</v>
      </c>
      <c r="D395" t="s">
        <v>27</v>
      </c>
      <c r="E395" t="s">
        <v>31</v>
      </c>
      <c r="F395" s="2" t="s">
        <v>38</v>
      </c>
      <c r="G395" t="str">
        <f t="shared" si="44"/>
        <v>Yum Pistachio Gelato 33-UK</v>
      </c>
      <c r="H395">
        <f t="shared" si="45"/>
        <v>461</v>
      </c>
      <c r="I395">
        <f>VLOOKUP(G395,Table4[[SKU-COUNTRY2]:[Price in USD]],2,FALSE)</f>
        <v>101.6</v>
      </c>
      <c r="J395">
        <f>VLOOKUP(G395,Sheet3!$C$82:$I$100,MATCH(E395,Sheet3!C$82:H$82,0),FALSE) * VLOOKUP(C395,Table8[],2,0)</f>
        <v>46800</v>
      </c>
      <c r="K395">
        <f>ROUND(J395*VLOOKUP(F395,Sheet3!$A$106:$C$111,2,FALSE),0)</f>
        <v>14508</v>
      </c>
      <c r="L395">
        <f t="shared" si="42"/>
        <v>32292</v>
      </c>
      <c r="M395">
        <f t="shared" si="43"/>
        <v>69</v>
      </c>
      <c r="N395" t="str">
        <f t="shared" si="46"/>
        <v>No</v>
      </c>
      <c r="O395">
        <f t="shared" si="47"/>
        <v>0</v>
      </c>
      <c r="P395" t="str">
        <f t="shared" si="48"/>
        <v>None</v>
      </c>
      <c r="Q395" t="s">
        <v>124</v>
      </c>
    </row>
    <row r="396" spans="1:17" x14ac:dyDescent="0.3">
      <c r="A396">
        <v>395</v>
      </c>
      <c r="B396" t="s">
        <v>20</v>
      </c>
      <c r="C396" s="1">
        <v>45809</v>
      </c>
      <c r="D396" t="s">
        <v>27</v>
      </c>
      <c r="E396" t="s">
        <v>31</v>
      </c>
      <c r="F396" s="2" t="s">
        <v>39</v>
      </c>
      <c r="G396" t="str">
        <f t="shared" si="44"/>
        <v>Freedom Musk Santal 34-UK</v>
      </c>
      <c r="H396">
        <f t="shared" si="45"/>
        <v>354</v>
      </c>
      <c r="I396">
        <f>VLOOKUP(G396,Table4[[SKU-COUNTRY2]:[Price in USD]],2,FALSE)</f>
        <v>101.6</v>
      </c>
      <c r="J396">
        <f>VLOOKUP(G396,Sheet3!$C$82:$I$100,MATCH(E396,Sheet3!C$82:H$82,0),FALSE) * VLOOKUP(C396,Table8[],2,0)</f>
        <v>36000</v>
      </c>
      <c r="K396">
        <f>ROUND(J396*VLOOKUP(F396,Sheet3!$A$106:$C$111,2,FALSE),0)</f>
        <v>11520</v>
      </c>
      <c r="L396">
        <f t="shared" si="42"/>
        <v>24480</v>
      </c>
      <c r="M396">
        <f t="shared" si="43"/>
        <v>68</v>
      </c>
      <c r="N396" t="str">
        <f t="shared" si="46"/>
        <v>No</v>
      </c>
      <c r="O396">
        <f t="shared" si="47"/>
        <v>0</v>
      </c>
      <c r="P396" t="str">
        <f t="shared" si="48"/>
        <v>None</v>
      </c>
      <c r="Q396" t="s">
        <v>124</v>
      </c>
    </row>
    <row r="397" spans="1:17" x14ac:dyDescent="0.3">
      <c r="A397">
        <v>396</v>
      </c>
      <c r="B397" t="s">
        <v>20</v>
      </c>
      <c r="C397" s="1">
        <v>45809</v>
      </c>
      <c r="D397" t="s">
        <v>27</v>
      </c>
      <c r="E397" t="s">
        <v>31</v>
      </c>
      <c r="F397" s="2" t="s">
        <v>40</v>
      </c>
      <c r="G397" t="str">
        <f t="shared" si="44"/>
        <v>Musk 12-UK</v>
      </c>
      <c r="H397">
        <f t="shared" si="45"/>
        <v>248</v>
      </c>
      <c r="I397">
        <f>VLOOKUP(G397,Table4[[SKU-COUNTRY2]:[Price in USD]],2,FALSE)</f>
        <v>101.6</v>
      </c>
      <c r="J397">
        <f>VLOOKUP(G397,Sheet3!$C$82:$I$100,MATCH(E397,Sheet3!C$82:H$82,0),FALSE) * VLOOKUP(C397,Table8[],2,0)</f>
        <v>25200.000000000004</v>
      </c>
      <c r="K397">
        <f>ROUND(J397*VLOOKUP(F397,Sheet3!$A$106:$C$111,2,FALSE),0)</f>
        <v>7560</v>
      </c>
      <c r="L397">
        <f t="shared" si="42"/>
        <v>17640.000000000004</v>
      </c>
      <c r="M397">
        <f t="shared" si="43"/>
        <v>70</v>
      </c>
      <c r="N397" t="str">
        <f t="shared" si="46"/>
        <v>No</v>
      </c>
      <c r="O397">
        <f t="shared" si="47"/>
        <v>0</v>
      </c>
      <c r="P397" t="str">
        <f t="shared" si="48"/>
        <v>None</v>
      </c>
      <c r="Q397" t="s">
        <v>124</v>
      </c>
    </row>
    <row r="398" spans="1:17" x14ac:dyDescent="0.3">
      <c r="A398">
        <v>397</v>
      </c>
      <c r="B398" t="s">
        <v>20</v>
      </c>
      <c r="C398" s="1">
        <v>45809</v>
      </c>
      <c r="D398" t="s">
        <v>27</v>
      </c>
      <c r="E398" t="s">
        <v>33</v>
      </c>
      <c r="F398" s="2" t="s">
        <v>35</v>
      </c>
      <c r="G398" t="str">
        <f t="shared" si="44"/>
        <v>Vanilla 28-UK</v>
      </c>
      <c r="H398">
        <f t="shared" si="45"/>
        <v>797</v>
      </c>
      <c r="I398">
        <f>VLOOKUP(G398,Table4[[SKU-COUNTRY2]:[Price in USD]],2,FALSE)</f>
        <v>101.6</v>
      </c>
      <c r="J398">
        <f>VLOOKUP(G398,Sheet3!$C$82:$I$100,MATCH(E398,Sheet3!C$82:H$82,0),FALSE) * VLOOKUP(C398,Table8[],2,0)</f>
        <v>81000</v>
      </c>
      <c r="K398">
        <f>ROUND(J398*VLOOKUP(F398,Sheet3!$A$106:$C$111,2,FALSE),0)</f>
        <v>24300</v>
      </c>
      <c r="L398">
        <f t="shared" si="42"/>
        <v>56700</v>
      </c>
      <c r="M398">
        <f t="shared" si="43"/>
        <v>70</v>
      </c>
      <c r="N398" t="str">
        <f t="shared" si="46"/>
        <v>No</v>
      </c>
      <c r="O398">
        <f t="shared" si="47"/>
        <v>0</v>
      </c>
      <c r="P398" t="str">
        <f t="shared" si="48"/>
        <v>None</v>
      </c>
      <c r="Q398" t="s">
        <v>124</v>
      </c>
    </row>
    <row r="399" spans="1:17" x14ac:dyDescent="0.3">
      <c r="A399">
        <v>398</v>
      </c>
      <c r="B399" t="s">
        <v>20</v>
      </c>
      <c r="C399" s="1">
        <v>45809</v>
      </c>
      <c r="D399" t="s">
        <v>27</v>
      </c>
      <c r="E399" t="s">
        <v>33</v>
      </c>
      <c r="F399" s="2" t="s">
        <v>36</v>
      </c>
      <c r="G399" t="str">
        <f t="shared" si="44"/>
        <v>Eden Juicy Apple 01-UK</v>
      </c>
      <c r="H399">
        <f t="shared" si="45"/>
        <v>585</v>
      </c>
      <c r="I399">
        <f>VLOOKUP(G399,Table4[[SKU-COUNTRY2]:[Price in USD]],2,FALSE)</f>
        <v>101.6</v>
      </c>
      <c r="J399">
        <f>VLOOKUP(G399,Sheet3!$C$82:$I$100,MATCH(E399,Sheet3!C$82:H$82,0),FALSE) * VLOOKUP(C399,Table8[],2,0)</f>
        <v>59400</v>
      </c>
      <c r="K399">
        <f>ROUND(J399*VLOOKUP(F399,Sheet3!$A$106:$C$111,2,FALSE),0)</f>
        <v>18414</v>
      </c>
      <c r="L399">
        <f t="shared" si="42"/>
        <v>40986</v>
      </c>
      <c r="M399">
        <f t="shared" si="43"/>
        <v>69</v>
      </c>
      <c r="N399" t="str">
        <f t="shared" si="46"/>
        <v>No</v>
      </c>
      <c r="O399">
        <f t="shared" si="47"/>
        <v>0</v>
      </c>
      <c r="P399" t="str">
        <f t="shared" si="48"/>
        <v>None</v>
      </c>
      <c r="Q399" t="s">
        <v>124</v>
      </c>
    </row>
    <row r="400" spans="1:17" x14ac:dyDescent="0.3">
      <c r="A400">
        <v>399</v>
      </c>
      <c r="B400" t="s">
        <v>20</v>
      </c>
      <c r="C400" s="1">
        <v>45809</v>
      </c>
      <c r="D400" t="s">
        <v>27</v>
      </c>
      <c r="E400" t="s">
        <v>33</v>
      </c>
      <c r="F400" s="2" t="s">
        <v>37</v>
      </c>
      <c r="G400" t="str">
        <f t="shared" si="44"/>
        <v>Oudgasm Tobacco Oud 04-UK</v>
      </c>
      <c r="H400">
        <f t="shared" si="45"/>
        <v>322</v>
      </c>
      <c r="I400">
        <f>VLOOKUP(G400,Table4[[SKU-COUNTRY2]:[Price in USD]],2,FALSE)</f>
        <v>151.13</v>
      </c>
      <c r="J400">
        <f>VLOOKUP(G400,Sheet3!$C$82:$I$100,MATCH(E400,Sheet3!C$82:H$82,0),FALSE) * VLOOKUP(C400,Table8[],2,0)</f>
        <v>48600</v>
      </c>
      <c r="K400">
        <f>ROUND(J400*VLOOKUP(F400,Sheet3!$A$106:$C$111,2,FALSE),0)</f>
        <v>17010</v>
      </c>
      <c r="L400">
        <f t="shared" si="42"/>
        <v>31590</v>
      </c>
      <c r="M400">
        <f t="shared" si="43"/>
        <v>65</v>
      </c>
      <c r="N400" t="str">
        <f t="shared" si="46"/>
        <v>No</v>
      </c>
      <c r="O400">
        <f t="shared" si="47"/>
        <v>0</v>
      </c>
      <c r="P400" t="str">
        <f t="shared" si="48"/>
        <v>None</v>
      </c>
      <c r="Q400" t="s">
        <v>124</v>
      </c>
    </row>
    <row r="401" spans="1:17" x14ac:dyDescent="0.3">
      <c r="A401">
        <v>400</v>
      </c>
      <c r="B401" t="s">
        <v>20</v>
      </c>
      <c r="C401" s="1">
        <v>45809</v>
      </c>
      <c r="D401" t="s">
        <v>27</v>
      </c>
      <c r="E401" t="s">
        <v>33</v>
      </c>
      <c r="F401" s="2" t="s">
        <v>38</v>
      </c>
      <c r="G401" t="str">
        <f t="shared" si="44"/>
        <v>Yum Pistachio Gelato 33-UK</v>
      </c>
      <c r="H401">
        <f t="shared" si="45"/>
        <v>345</v>
      </c>
      <c r="I401">
        <f>VLOOKUP(G401,Table4[[SKU-COUNTRY2]:[Price in USD]],2,FALSE)</f>
        <v>101.6</v>
      </c>
      <c r="J401">
        <f>VLOOKUP(G401,Sheet3!$C$82:$I$100,MATCH(E401,Sheet3!C$82:H$82,0),FALSE) * VLOOKUP(C401,Table8[],2,0)</f>
        <v>35100</v>
      </c>
      <c r="K401">
        <f>ROUND(J401*VLOOKUP(F401,Sheet3!$A$106:$C$111,2,FALSE),0)</f>
        <v>10881</v>
      </c>
      <c r="L401">
        <f t="shared" si="42"/>
        <v>24219</v>
      </c>
      <c r="M401">
        <f t="shared" si="43"/>
        <v>69</v>
      </c>
      <c r="N401" t="str">
        <f t="shared" si="46"/>
        <v>No</v>
      </c>
      <c r="O401">
        <f t="shared" si="47"/>
        <v>0</v>
      </c>
      <c r="P401" t="str">
        <f t="shared" si="48"/>
        <v>None</v>
      </c>
      <c r="Q401" t="s">
        <v>124</v>
      </c>
    </row>
    <row r="402" spans="1:17" x14ac:dyDescent="0.3">
      <c r="A402">
        <v>401</v>
      </c>
      <c r="B402" t="s">
        <v>20</v>
      </c>
      <c r="C402" s="1">
        <v>45809</v>
      </c>
      <c r="D402" t="s">
        <v>27</v>
      </c>
      <c r="E402" t="s">
        <v>33</v>
      </c>
      <c r="F402" s="2" t="s">
        <v>39</v>
      </c>
      <c r="G402" t="str">
        <f t="shared" si="44"/>
        <v>Freedom Musk Santal 34-UK</v>
      </c>
      <c r="H402">
        <f t="shared" si="45"/>
        <v>266</v>
      </c>
      <c r="I402">
        <f>VLOOKUP(G402,Table4[[SKU-COUNTRY2]:[Price in USD]],2,FALSE)</f>
        <v>101.6</v>
      </c>
      <c r="J402">
        <f>VLOOKUP(G402,Sheet3!$C$82:$I$100,MATCH(E402,Sheet3!C$82:H$82,0),FALSE) * VLOOKUP(C402,Table8[],2,0)</f>
        <v>27000</v>
      </c>
      <c r="K402">
        <f>ROUND(J402*VLOOKUP(F402,Sheet3!$A$106:$C$111,2,FALSE),0)</f>
        <v>8640</v>
      </c>
      <c r="L402">
        <f t="shared" si="42"/>
        <v>18360</v>
      </c>
      <c r="M402">
        <f t="shared" si="43"/>
        <v>68</v>
      </c>
      <c r="N402" t="str">
        <f t="shared" si="46"/>
        <v>No</v>
      </c>
      <c r="O402">
        <f t="shared" si="47"/>
        <v>0</v>
      </c>
      <c r="P402" t="str">
        <f t="shared" si="48"/>
        <v>None</v>
      </c>
      <c r="Q402" t="s">
        <v>124</v>
      </c>
    </row>
    <row r="403" spans="1:17" x14ac:dyDescent="0.3">
      <c r="A403">
        <v>402</v>
      </c>
      <c r="B403" t="s">
        <v>20</v>
      </c>
      <c r="C403" s="1">
        <v>45809</v>
      </c>
      <c r="D403" t="s">
        <v>27</v>
      </c>
      <c r="E403" t="s">
        <v>33</v>
      </c>
      <c r="F403" s="2" t="s">
        <v>40</v>
      </c>
      <c r="G403" t="str">
        <f t="shared" si="44"/>
        <v>Musk 12-UK</v>
      </c>
      <c r="H403">
        <f t="shared" si="45"/>
        <v>186</v>
      </c>
      <c r="I403">
        <f>VLOOKUP(G403,Table4[[SKU-COUNTRY2]:[Price in USD]],2,FALSE)</f>
        <v>101.6</v>
      </c>
      <c r="J403">
        <f>VLOOKUP(G403,Sheet3!$C$82:$I$100,MATCH(E403,Sheet3!C$82:H$82,0),FALSE) * VLOOKUP(C403,Table8[],2,0)</f>
        <v>18900.000000000004</v>
      </c>
      <c r="K403">
        <f>ROUND(J403*VLOOKUP(F403,Sheet3!$A$106:$C$111,2,FALSE),0)</f>
        <v>5670</v>
      </c>
      <c r="L403">
        <f t="shared" si="42"/>
        <v>13230.000000000004</v>
      </c>
      <c r="M403">
        <f t="shared" si="43"/>
        <v>70</v>
      </c>
      <c r="N403" t="str">
        <f t="shared" si="46"/>
        <v>No</v>
      </c>
      <c r="O403">
        <f t="shared" si="47"/>
        <v>0</v>
      </c>
      <c r="P403" t="str">
        <f t="shared" si="48"/>
        <v>None</v>
      </c>
      <c r="Q403" t="s">
        <v>124</v>
      </c>
    </row>
    <row r="404" spans="1:17" x14ac:dyDescent="0.3">
      <c r="A404">
        <v>403</v>
      </c>
      <c r="B404" t="s">
        <v>20</v>
      </c>
      <c r="C404" s="1">
        <v>45809</v>
      </c>
      <c r="D404" t="s">
        <v>27</v>
      </c>
      <c r="E404" t="s">
        <v>34</v>
      </c>
      <c r="F404" s="2" t="s">
        <v>35</v>
      </c>
      <c r="G404" t="str">
        <f t="shared" si="44"/>
        <v>Vanilla 28-UK</v>
      </c>
      <c r="H404">
        <f t="shared" si="45"/>
        <v>1329</v>
      </c>
      <c r="I404">
        <f>VLOOKUP(G404,Table4[[SKU-COUNTRY2]:[Price in USD]],2,FALSE)</f>
        <v>101.6</v>
      </c>
      <c r="J404">
        <f>VLOOKUP(G404,Sheet3!$C$82:$I$100,MATCH(E404,Sheet3!C$82:H$82,0),FALSE) * VLOOKUP(C404,Table8[],2,0)</f>
        <v>135000</v>
      </c>
      <c r="K404">
        <f>ROUND(J404*VLOOKUP(F404,Sheet3!$A$106:$C$111,2,FALSE),0)</f>
        <v>40500</v>
      </c>
      <c r="L404">
        <f t="shared" si="42"/>
        <v>94500</v>
      </c>
      <c r="M404">
        <f t="shared" si="43"/>
        <v>70</v>
      </c>
      <c r="N404" t="str">
        <f t="shared" si="46"/>
        <v>No</v>
      </c>
      <c r="O404">
        <f t="shared" si="47"/>
        <v>0</v>
      </c>
      <c r="P404" t="str">
        <f t="shared" si="48"/>
        <v>None</v>
      </c>
      <c r="Q404" t="s">
        <v>124</v>
      </c>
    </row>
    <row r="405" spans="1:17" x14ac:dyDescent="0.3">
      <c r="A405">
        <v>404</v>
      </c>
      <c r="B405" t="s">
        <v>20</v>
      </c>
      <c r="C405" s="1">
        <v>45809</v>
      </c>
      <c r="D405" t="s">
        <v>27</v>
      </c>
      <c r="E405" t="s">
        <v>34</v>
      </c>
      <c r="F405" s="2" t="s">
        <v>36</v>
      </c>
      <c r="G405" t="str">
        <f t="shared" si="44"/>
        <v>Eden Juicy Apple 01-UK</v>
      </c>
      <c r="H405">
        <f t="shared" si="45"/>
        <v>974</v>
      </c>
      <c r="I405">
        <f>VLOOKUP(G405,Table4[[SKU-COUNTRY2]:[Price in USD]],2,FALSE)</f>
        <v>101.6</v>
      </c>
      <c r="J405">
        <f>VLOOKUP(G405,Sheet3!$C$82:$I$100,MATCH(E405,Sheet3!C$82:H$82,0),FALSE) * VLOOKUP(C405,Table8[],2,0)</f>
        <v>99000</v>
      </c>
      <c r="K405">
        <f>ROUND(J405*VLOOKUP(F405,Sheet3!$A$106:$C$111,2,FALSE),0)</f>
        <v>30690</v>
      </c>
      <c r="L405">
        <f t="shared" si="42"/>
        <v>68310</v>
      </c>
      <c r="M405">
        <f t="shared" si="43"/>
        <v>69</v>
      </c>
      <c r="N405" t="str">
        <f t="shared" si="46"/>
        <v>No</v>
      </c>
      <c r="O405">
        <f t="shared" si="47"/>
        <v>0</v>
      </c>
      <c r="P405" t="str">
        <f t="shared" si="48"/>
        <v>None</v>
      </c>
      <c r="Q405" t="s">
        <v>124</v>
      </c>
    </row>
    <row r="406" spans="1:17" x14ac:dyDescent="0.3">
      <c r="A406">
        <v>405</v>
      </c>
      <c r="B406" t="s">
        <v>20</v>
      </c>
      <c r="C406" s="1">
        <v>45809</v>
      </c>
      <c r="D406" t="s">
        <v>27</v>
      </c>
      <c r="E406" t="s">
        <v>34</v>
      </c>
      <c r="F406" s="2" t="s">
        <v>37</v>
      </c>
      <c r="G406" t="str">
        <f t="shared" si="44"/>
        <v>Oudgasm Tobacco Oud 04-UK</v>
      </c>
      <c r="H406">
        <f t="shared" si="45"/>
        <v>536</v>
      </c>
      <c r="I406">
        <f>VLOOKUP(G406,Table4[[SKU-COUNTRY2]:[Price in USD]],2,FALSE)</f>
        <v>151.13</v>
      </c>
      <c r="J406">
        <f>VLOOKUP(G406,Sheet3!$C$82:$I$100,MATCH(E406,Sheet3!C$82:H$82,0),FALSE) * VLOOKUP(C406,Table8[],2,0)</f>
        <v>81000</v>
      </c>
      <c r="K406">
        <f>ROUND(J406*VLOOKUP(F406,Sheet3!$A$106:$C$111,2,FALSE),0)</f>
        <v>28350</v>
      </c>
      <c r="L406">
        <f t="shared" si="42"/>
        <v>52650</v>
      </c>
      <c r="M406">
        <f t="shared" si="43"/>
        <v>65</v>
      </c>
      <c r="N406" t="str">
        <f t="shared" si="46"/>
        <v>No</v>
      </c>
      <c r="O406">
        <f t="shared" si="47"/>
        <v>0</v>
      </c>
      <c r="P406" t="str">
        <f t="shared" si="48"/>
        <v>None</v>
      </c>
      <c r="Q406" t="s">
        <v>124</v>
      </c>
    </row>
    <row r="407" spans="1:17" x14ac:dyDescent="0.3">
      <c r="A407">
        <v>406</v>
      </c>
      <c r="B407" t="s">
        <v>20</v>
      </c>
      <c r="C407" s="1">
        <v>45809</v>
      </c>
      <c r="D407" t="s">
        <v>27</v>
      </c>
      <c r="E407" t="s">
        <v>34</v>
      </c>
      <c r="F407" s="2" t="s">
        <v>38</v>
      </c>
      <c r="G407" t="str">
        <f t="shared" si="44"/>
        <v>Yum Pistachio Gelato 33-UK</v>
      </c>
      <c r="H407">
        <f t="shared" si="45"/>
        <v>576</v>
      </c>
      <c r="I407">
        <f>VLOOKUP(G407,Table4[[SKU-COUNTRY2]:[Price in USD]],2,FALSE)</f>
        <v>101.6</v>
      </c>
      <c r="J407">
        <f>VLOOKUP(G407,Sheet3!$C$82:$I$100,MATCH(E407,Sheet3!C$82:H$82,0),FALSE) * VLOOKUP(C407,Table8[],2,0)</f>
        <v>58500</v>
      </c>
      <c r="K407">
        <f>ROUND(J407*VLOOKUP(F407,Sheet3!$A$106:$C$111,2,FALSE),0)</f>
        <v>18135</v>
      </c>
      <c r="L407">
        <f t="shared" si="42"/>
        <v>40365</v>
      </c>
      <c r="M407">
        <f t="shared" si="43"/>
        <v>69</v>
      </c>
      <c r="N407" t="str">
        <f t="shared" si="46"/>
        <v>No</v>
      </c>
      <c r="O407">
        <f t="shared" si="47"/>
        <v>0</v>
      </c>
      <c r="P407" t="str">
        <f t="shared" si="48"/>
        <v>None</v>
      </c>
      <c r="Q407" t="s">
        <v>124</v>
      </c>
    </row>
    <row r="408" spans="1:17" x14ac:dyDescent="0.3">
      <c r="A408">
        <v>407</v>
      </c>
      <c r="B408" t="s">
        <v>20</v>
      </c>
      <c r="C408" s="1">
        <v>45809</v>
      </c>
      <c r="D408" t="s">
        <v>27</v>
      </c>
      <c r="E408" t="s">
        <v>34</v>
      </c>
      <c r="F408" s="2" t="s">
        <v>39</v>
      </c>
      <c r="G408" t="str">
        <f t="shared" si="44"/>
        <v>Freedom Musk Santal 34-UK</v>
      </c>
      <c r="H408">
        <f t="shared" si="45"/>
        <v>443</v>
      </c>
      <c r="I408">
        <f>VLOOKUP(G408,Table4[[SKU-COUNTRY2]:[Price in USD]],2,FALSE)</f>
        <v>101.6</v>
      </c>
      <c r="J408">
        <f>VLOOKUP(G408,Sheet3!$C$82:$I$100,MATCH(E408,Sheet3!C$82:H$82,0),FALSE) * VLOOKUP(C408,Table8[],2,0)</f>
        <v>45000</v>
      </c>
      <c r="K408">
        <f>ROUND(J408*VLOOKUP(F408,Sheet3!$A$106:$C$111,2,FALSE),0)</f>
        <v>14400</v>
      </c>
      <c r="L408">
        <f t="shared" si="42"/>
        <v>30600</v>
      </c>
      <c r="M408">
        <f t="shared" si="43"/>
        <v>68</v>
      </c>
      <c r="N408" t="str">
        <f t="shared" si="46"/>
        <v>No</v>
      </c>
      <c r="O408">
        <f t="shared" si="47"/>
        <v>0</v>
      </c>
      <c r="P408" t="str">
        <f t="shared" si="48"/>
        <v>None</v>
      </c>
      <c r="Q408" t="s">
        <v>124</v>
      </c>
    </row>
    <row r="409" spans="1:17" x14ac:dyDescent="0.3">
      <c r="A409">
        <v>408</v>
      </c>
      <c r="B409" t="s">
        <v>20</v>
      </c>
      <c r="C409" s="1">
        <v>45809</v>
      </c>
      <c r="D409" t="s">
        <v>27</v>
      </c>
      <c r="E409" t="s">
        <v>34</v>
      </c>
      <c r="F409" s="2" t="s">
        <v>40</v>
      </c>
      <c r="G409" t="str">
        <f t="shared" si="44"/>
        <v>Musk 12-UK</v>
      </c>
      <c r="H409">
        <f t="shared" si="45"/>
        <v>310</v>
      </c>
      <c r="I409">
        <f>VLOOKUP(G409,Table4[[SKU-COUNTRY2]:[Price in USD]],2,FALSE)</f>
        <v>101.6</v>
      </c>
      <c r="J409">
        <f>VLOOKUP(G409,Sheet3!$C$82:$I$100,MATCH(E409,Sheet3!C$82:H$82,0),FALSE) * VLOOKUP(C409,Table8[],2,0)</f>
        <v>31500</v>
      </c>
      <c r="K409">
        <f>ROUND(J409*VLOOKUP(F409,Sheet3!$A$106:$C$111,2,FALSE),0)</f>
        <v>9450</v>
      </c>
      <c r="L409">
        <f t="shared" si="42"/>
        <v>22050</v>
      </c>
      <c r="M409">
        <f t="shared" si="43"/>
        <v>70</v>
      </c>
      <c r="N409" t="str">
        <f t="shared" si="46"/>
        <v>No</v>
      </c>
      <c r="O409">
        <f t="shared" si="47"/>
        <v>0</v>
      </c>
      <c r="P409" t="str">
        <f t="shared" si="48"/>
        <v>None</v>
      </c>
      <c r="Q409" t="s">
        <v>124</v>
      </c>
    </row>
    <row r="410" spans="1:17" x14ac:dyDescent="0.3">
      <c r="A410">
        <v>409</v>
      </c>
      <c r="B410" t="s">
        <v>20</v>
      </c>
      <c r="C410" s="1">
        <v>45809</v>
      </c>
      <c r="D410" t="s">
        <v>29</v>
      </c>
      <c r="E410" t="s">
        <v>32</v>
      </c>
      <c r="F410" s="2" t="s">
        <v>35</v>
      </c>
      <c r="G410" t="str">
        <f t="shared" si="44"/>
        <v>Vanilla 28-UAE</v>
      </c>
      <c r="H410">
        <f t="shared" si="45"/>
        <v>1786</v>
      </c>
      <c r="I410">
        <f>VLOOKUP(G410,Table4[[SKU-COUNTRY2]:[Price in USD]],2,FALSE)</f>
        <v>113.4</v>
      </c>
      <c r="J410">
        <f>VLOOKUP(G410,Sheet3!$C$82:$I$100,MATCH(E410,Sheet3!C$82:H$82,0),FALSE) * VLOOKUP(C410,Table8[],2,0)</f>
        <v>202500</v>
      </c>
      <c r="K410">
        <f>ROUND(J410*VLOOKUP(F410,Sheet3!$A$106:$C$111,2,FALSE),0)</f>
        <v>60750</v>
      </c>
      <c r="L410">
        <f t="shared" si="42"/>
        <v>141750</v>
      </c>
      <c r="M410">
        <f t="shared" si="43"/>
        <v>70</v>
      </c>
      <c r="N410" t="str">
        <f t="shared" si="46"/>
        <v>Yes</v>
      </c>
      <c r="O410">
        <f t="shared" si="47"/>
        <v>15</v>
      </c>
      <c r="P410" t="str">
        <f t="shared" si="48"/>
        <v>Eid Al Adha</v>
      </c>
      <c r="Q410" t="s">
        <v>124</v>
      </c>
    </row>
    <row r="411" spans="1:17" x14ac:dyDescent="0.3">
      <c r="A411">
        <v>410</v>
      </c>
      <c r="B411" t="s">
        <v>20</v>
      </c>
      <c r="C411" s="1">
        <v>45809</v>
      </c>
      <c r="D411" t="s">
        <v>29</v>
      </c>
      <c r="E411" t="s">
        <v>32</v>
      </c>
      <c r="F411" s="2" t="s">
        <v>36</v>
      </c>
      <c r="G411" t="str">
        <f t="shared" si="44"/>
        <v>Eden Juicy Apple 01-UAE</v>
      </c>
      <c r="H411">
        <f t="shared" si="45"/>
        <v>1339</v>
      </c>
      <c r="I411">
        <f>VLOOKUP(G411,Table4[[SKU-COUNTRY2]:[Price in USD]],2,FALSE)</f>
        <v>113.4</v>
      </c>
      <c r="J411">
        <f>VLOOKUP(G411,Sheet3!$C$82:$I$100,MATCH(E411,Sheet3!C$82:H$82,0),FALSE) * VLOOKUP(C411,Table8[],2,0)</f>
        <v>151875</v>
      </c>
      <c r="K411">
        <f>ROUND(J411*VLOOKUP(F411,Sheet3!$A$106:$C$111,2,FALSE),0)</f>
        <v>47081</v>
      </c>
      <c r="L411">
        <f t="shared" si="42"/>
        <v>104794</v>
      </c>
      <c r="M411">
        <f t="shared" si="43"/>
        <v>69</v>
      </c>
      <c r="N411" t="str">
        <f t="shared" si="46"/>
        <v>Yes</v>
      </c>
      <c r="O411">
        <f t="shared" si="47"/>
        <v>15</v>
      </c>
      <c r="P411" t="str">
        <f t="shared" si="48"/>
        <v>Eid Al Adha</v>
      </c>
      <c r="Q411" t="s">
        <v>124</v>
      </c>
    </row>
    <row r="412" spans="1:17" x14ac:dyDescent="0.3">
      <c r="A412">
        <v>411</v>
      </c>
      <c r="B412" t="s">
        <v>20</v>
      </c>
      <c r="C412" s="1">
        <v>45809</v>
      </c>
      <c r="D412" t="s">
        <v>29</v>
      </c>
      <c r="E412" t="s">
        <v>32</v>
      </c>
      <c r="F412" s="2" t="s">
        <v>37</v>
      </c>
      <c r="G412" t="str">
        <f t="shared" si="44"/>
        <v>Oudgasm Tobacco Oud 04-UAE</v>
      </c>
      <c r="H412">
        <f t="shared" si="45"/>
        <v>2382</v>
      </c>
      <c r="I412">
        <f>VLOOKUP(G412,Table4[[SKU-COUNTRY2]:[Price in USD]],2,FALSE)</f>
        <v>148.77000000000001</v>
      </c>
      <c r="J412">
        <f>VLOOKUP(G412,Sheet3!$C$82:$I$100,MATCH(E412,Sheet3!C$82:H$82,0),FALSE) * VLOOKUP(C412,Table8[],2,0)</f>
        <v>354375</v>
      </c>
      <c r="K412">
        <f>ROUND(J412*VLOOKUP(F412,Sheet3!$A$106:$C$111,2,FALSE),0)</f>
        <v>124031</v>
      </c>
      <c r="L412">
        <f t="shared" si="42"/>
        <v>230344</v>
      </c>
      <c r="M412">
        <f t="shared" si="43"/>
        <v>65</v>
      </c>
      <c r="N412" t="str">
        <f t="shared" si="46"/>
        <v>Yes</v>
      </c>
      <c r="O412">
        <f t="shared" si="47"/>
        <v>15</v>
      </c>
      <c r="P412" t="str">
        <f t="shared" si="48"/>
        <v>Eid Al Adha</v>
      </c>
      <c r="Q412" t="s">
        <v>124</v>
      </c>
    </row>
    <row r="413" spans="1:17" x14ac:dyDescent="0.3">
      <c r="A413">
        <v>412</v>
      </c>
      <c r="B413" t="s">
        <v>20</v>
      </c>
      <c r="C413" s="1">
        <v>45809</v>
      </c>
      <c r="D413" t="s">
        <v>29</v>
      </c>
      <c r="E413" t="s">
        <v>32</v>
      </c>
      <c r="F413" s="2" t="s">
        <v>38</v>
      </c>
      <c r="G413" t="str">
        <f t="shared" si="44"/>
        <v>Yum Pistachio Gelato 33-UAE</v>
      </c>
      <c r="H413">
        <f t="shared" si="45"/>
        <v>1071</v>
      </c>
      <c r="I413">
        <f>VLOOKUP(G413,Table4[[SKU-COUNTRY2]:[Price in USD]],2,FALSE)</f>
        <v>113.4</v>
      </c>
      <c r="J413">
        <f>VLOOKUP(G413,Sheet3!$C$82:$I$100,MATCH(E413,Sheet3!C$82:H$82,0),FALSE) * VLOOKUP(C413,Table8[],2,0)</f>
        <v>121500</v>
      </c>
      <c r="K413">
        <f>ROUND(J413*VLOOKUP(F413,Sheet3!$A$106:$C$111,2,FALSE),0)</f>
        <v>37665</v>
      </c>
      <c r="L413">
        <f t="shared" si="42"/>
        <v>83835</v>
      </c>
      <c r="M413">
        <f t="shared" si="43"/>
        <v>69</v>
      </c>
      <c r="N413" t="str">
        <f t="shared" si="46"/>
        <v>Yes</v>
      </c>
      <c r="O413">
        <f t="shared" si="47"/>
        <v>15</v>
      </c>
      <c r="P413" t="str">
        <f t="shared" si="48"/>
        <v>Eid Al Adha</v>
      </c>
      <c r="Q413" t="s">
        <v>124</v>
      </c>
    </row>
    <row r="414" spans="1:17" x14ac:dyDescent="0.3">
      <c r="A414">
        <v>413</v>
      </c>
      <c r="B414" t="s">
        <v>20</v>
      </c>
      <c r="C414" s="1">
        <v>45809</v>
      </c>
      <c r="D414" t="s">
        <v>29</v>
      </c>
      <c r="E414" t="s">
        <v>32</v>
      </c>
      <c r="F414" s="2" t="s">
        <v>39</v>
      </c>
      <c r="G414" t="str">
        <f t="shared" si="44"/>
        <v>Freedom Musk Santal 34-UAE</v>
      </c>
      <c r="H414">
        <f t="shared" si="45"/>
        <v>893</v>
      </c>
      <c r="I414">
        <f>VLOOKUP(G414,Table4[[SKU-COUNTRY2]:[Price in USD]],2,FALSE)</f>
        <v>113.4</v>
      </c>
      <c r="J414">
        <f>VLOOKUP(G414,Sheet3!$C$82:$I$100,MATCH(E414,Sheet3!C$82:H$82,0),FALSE) * VLOOKUP(C414,Table8[],2,0)</f>
        <v>101250</v>
      </c>
      <c r="K414">
        <f>ROUND(J414*VLOOKUP(F414,Sheet3!$A$106:$C$111,2,FALSE),0)</f>
        <v>32400</v>
      </c>
      <c r="L414">
        <f t="shared" si="42"/>
        <v>68850</v>
      </c>
      <c r="M414">
        <f t="shared" si="43"/>
        <v>68</v>
      </c>
      <c r="N414" t="str">
        <f t="shared" si="46"/>
        <v>Yes</v>
      </c>
      <c r="O414">
        <f t="shared" si="47"/>
        <v>15</v>
      </c>
      <c r="P414" t="str">
        <f t="shared" si="48"/>
        <v>Eid Al Adha</v>
      </c>
      <c r="Q414" t="s">
        <v>124</v>
      </c>
    </row>
    <row r="415" spans="1:17" x14ac:dyDescent="0.3">
      <c r="A415">
        <v>414</v>
      </c>
      <c r="B415" t="s">
        <v>20</v>
      </c>
      <c r="C415" s="1">
        <v>45809</v>
      </c>
      <c r="D415" t="s">
        <v>29</v>
      </c>
      <c r="E415" t="s">
        <v>32</v>
      </c>
      <c r="F415" s="2" t="s">
        <v>40</v>
      </c>
      <c r="G415" t="str">
        <f t="shared" si="44"/>
        <v>Musk 12-UAE</v>
      </c>
      <c r="H415">
        <f t="shared" si="45"/>
        <v>714</v>
      </c>
      <c r="I415">
        <f>VLOOKUP(G415,Table4[[SKU-COUNTRY2]:[Price in USD]],2,FALSE)</f>
        <v>113.4</v>
      </c>
      <c r="J415">
        <f>VLOOKUP(G415,Sheet3!$C$82:$I$100,MATCH(E415,Sheet3!C$82:H$82,0),FALSE) * VLOOKUP(C415,Table8[],2,0)</f>
        <v>81000</v>
      </c>
      <c r="K415">
        <f>ROUND(J415*VLOOKUP(F415,Sheet3!$A$106:$C$111,2,FALSE),0)</f>
        <v>24300</v>
      </c>
      <c r="L415">
        <f t="shared" si="42"/>
        <v>56700</v>
      </c>
      <c r="M415">
        <f t="shared" si="43"/>
        <v>70</v>
      </c>
      <c r="N415" t="str">
        <f t="shared" si="46"/>
        <v>Yes</v>
      </c>
      <c r="O415">
        <f t="shared" si="47"/>
        <v>15</v>
      </c>
      <c r="P415" t="str">
        <f t="shared" si="48"/>
        <v>Eid Al Adha</v>
      </c>
      <c r="Q415" t="s">
        <v>124</v>
      </c>
    </row>
    <row r="416" spans="1:17" x14ac:dyDescent="0.3">
      <c r="A416">
        <v>415</v>
      </c>
      <c r="B416" t="s">
        <v>20</v>
      </c>
      <c r="C416" s="1">
        <v>45809</v>
      </c>
      <c r="D416" t="s">
        <v>29</v>
      </c>
      <c r="E416" t="s">
        <v>31</v>
      </c>
      <c r="F416" s="2" t="s">
        <v>35</v>
      </c>
      <c r="G416" t="str">
        <f t="shared" si="44"/>
        <v>Vanilla 28-UAE</v>
      </c>
      <c r="H416">
        <f t="shared" si="45"/>
        <v>992</v>
      </c>
      <c r="I416">
        <f>VLOOKUP(G416,Table4[[SKU-COUNTRY2]:[Price in USD]],2,FALSE)</f>
        <v>113.4</v>
      </c>
      <c r="J416">
        <f>VLOOKUP(G416,Sheet3!$C$82:$I$100,MATCH(E416,Sheet3!C$82:H$82,0),FALSE) * VLOOKUP(C416,Table8[],2,0)</f>
        <v>112500</v>
      </c>
      <c r="K416">
        <f>ROUND(J416*VLOOKUP(F416,Sheet3!$A$106:$C$111,2,FALSE),0)</f>
        <v>33750</v>
      </c>
      <c r="L416">
        <f t="shared" si="42"/>
        <v>78750</v>
      </c>
      <c r="M416">
        <f t="shared" si="43"/>
        <v>70</v>
      </c>
      <c r="N416" t="str">
        <f t="shared" si="46"/>
        <v>Yes</v>
      </c>
      <c r="O416">
        <f t="shared" si="47"/>
        <v>15</v>
      </c>
      <c r="P416" t="str">
        <f t="shared" si="48"/>
        <v>Eid Al Adha</v>
      </c>
      <c r="Q416" t="s">
        <v>124</v>
      </c>
    </row>
    <row r="417" spans="1:17" x14ac:dyDescent="0.3">
      <c r="A417">
        <v>416</v>
      </c>
      <c r="B417" t="s">
        <v>20</v>
      </c>
      <c r="C417" s="1">
        <v>45809</v>
      </c>
      <c r="D417" t="s">
        <v>29</v>
      </c>
      <c r="E417" t="s">
        <v>31</v>
      </c>
      <c r="F417" s="2" t="s">
        <v>36</v>
      </c>
      <c r="G417" t="str">
        <f t="shared" si="44"/>
        <v>Eden Juicy Apple 01-UAE</v>
      </c>
      <c r="H417">
        <f t="shared" si="45"/>
        <v>744</v>
      </c>
      <c r="I417">
        <f>VLOOKUP(G417,Table4[[SKU-COUNTRY2]:[Price in USD]],2,FALSE)</f>
        <v>113.4</v>
      </c>
      <c r="J417">
        <f>VLOOKUP(G417,Sheet3!$C$82:$I$100,MATCH(E417,Sheet3!C$82:H$82,0),FALSE) * VLOOKUP(C417,Table8[],2,0)</f>
        <v>84375</v>
      </c>
      <c r="K417">
        <f>ROUND(J417*VLOOKUP(F417,Sheet3!$A$106:$C$111,2,FALSE),0)</f>
        <v>26156</v>
      </c>
      <c r="L417">
        <f t="shared" si="42"/>
        <v>58219</v>
      </c>
      <c r="M417">
        <f t="shared" si="43"/>
        <v>69</v>
      </c>
      <c r="N417" t="str">
        <f t="shared" si="46"/>
        <v>Yes</v>
      </c>
      <c r="O417">
        <f t="shared" si="47"/>
        <v>15</v>
      </c>
      <c r="P417" t="str">
        <f t="shared" si="48"/>
        <v>Eid Al Adha</v>
      </c>
      <c r="Q417" t="s">
        <v>124</v>
      </c>
    </row>
    <row r="418" spans="1:17" x14ac:dyDescent="0.3">
      <c r="A418">
        <v>417</v>
      </c>
      <c r="B418" t="s">
        <v>20</v>
      </c>
      <c r="C418" s="1">
        <v>45809</v>
      </c>
      <c r="D418" t="s">
        <v>29</v>
      </c>
      <c r="E418" t="s">
        <v>31</v>
      </c>
      <c r="F418" s="2" t="s">
        <v>37</v>
      </c>
      <c r="G418" t="str">
        <f t="shared" si="44"/>
        <v>Oudgasm Tobacco Oud 04-UAE</v>
      </c>
      <c r="H418">
        <f t="shared" si="45"/>
        <v>1323</v>
      </c>
      <c r="I418">
        <f>VLOOKUP(G418,Table4[[SKU-COUNTRY2]:[Price in USD]],2,FALSE)</f>
        <v>148.77000000000001</v>
      </c>
      <c r="J418">
        <f>VLOOKUP(G418,Sheet3!$C$82:$I$100,MATCH(E418,Sheet3!C$82:H$82,0),FALSE) * VLOOKUP(C418,Table8[],2,0)</f>
        <v>196875</v>
      </c>
      <c r="K418">
        <f>ROUND(J418*VLOOKUP(F418,Sheet3!$A$106:$C$111,2,FALSE),0)</f>
        <v>68906</v>
      </c>
      <c r="L418">
        <f t="shared" si="42"/>
        <v>127969</v>
      </c>
      <c r="M418">
        <f t="shared" si="43"/>
        <v>65</v>
      </c>
      <c r="N418" t="str">
        <f t="shared" si="46"/>
        <v>Yes</v>
      </c>
      <c r="O418">
        <f t="shared" si="47"/>
        <v>15</v>
      </c>
      <c r="P418" t="str">
        <f t="shared" si="48"/>
        <v>Eid Al Adha</v>
      </c>
      <c r="Q418" t="s">
        <v>124</v>
      </c>
    </row>
    <row r="419" spans="1:17" x14ac:dyDescent="0.3">
      <c r="A419">
        <v>418</v>
      </c>
      <c r="B419" t="s">
        <v>20</v>
      </c>
      <c r="C419" s="1">
        <v>45809</v>
      </c>
      <c r="D419" t="s">
        <v>29</v>
      </c>
      <c r="E419" t="s">
        <v>31</v>
      </c>
      <c r="F419" s="2" t="s">
        <v>38</v>
      </c>
      <c r="G419" t="str">
        <f t="shared" si="44"/>
        <v>Yum Pistachio Gelato 33-UAE</v>
      </c>
      <c r="H419">
        <f t="shared" si="45"/>
        <v>595</v>
      </c>
      <c r="I419">
        <f>VLOOKUP(G419,Table4[[SKU-COUNTRY2]:[Price in USD]],2,FALSE)</f>
        <v>113.4</v>
      </c>
      <c r="J419">
        <f>VLOOKUP(G419,Sheet3!$C$82:$I$100,MATCH(E419,Sheet3!C$82:H$82,0),FALSE) * VLOOKUP(C419,Table8[],2,0)</f>
        <v>67500</v>
      </c>
      <c r="K419">
        <f>ROUND(J419*VLOOKUP(F419,Sheet3!$A$106:$C$111,2,FALSE),0)</f>
        <v>20925</v>
      </c>
      <c r="L419">
        <f t="shared" si="42"/>
        <v>46575</v>
      </c>
      <c r="M419">
        <f t="shared" si="43"/>
        <v>69</v>
      </c>
      <c r="N419" t="str">
        <f t="shared" si="46"/>
        <v>Yes</v>
      </c>
      <c r="O419">
        <f t="shared" si="47"/>
        <v>15</v>
      </c>
      <c r="P419" t="str">
        <f t="shared" si="48"/>
        <v>Eid Al Adha</v>
      </c>
      <c r="Q419" t="s">
        <v>124</v>
      </c>
    </row>
    <row r="420" spans="1:17" x14ac:dyDescent="0.3">
      <c r="A420">
        <v>419</v>
      </c>
      <c r="B420" t="s">
        <v>20</v>
      </c>
      <c r="C420" s="1">
        <v>45809</v>
      </c>
      <c r="D420" t="s">
        <v>29</v>
      </c>
      <c r="E420" t="s">
        <v>31</v>
      </c>
      <c r="F420" s="2" t="s">
        <v>39</v>
      </c>
      <c r="G420" t="str">
        <f t="shared" si="44"/>
        <v>Freedom Musk Santal 34-UAE</v>
      </c>
      <c r="H420">
        <f t="shared" si="45"/>
        <v>496</v>
      </c>
      <c r="I420">
        <f>VLOOKUP(G420,Table4[[SKU-COUNTRY2]:[Price in USD]],2,FALSE)</f>
        <v>113.4</v>
      </c>
      <c r="J420">
        <f>VLOOKUP(G420,Sheet3!$C$82:$I$100,MATCH(E420,Sheet3!C$82:H$82,0),FALSE) * VLOOKUP(C420,Table8[],2,0)</f>
        <v>56250</v>
      </c>
      <c r="K420">
        <f>ROUND(J420*VLOOKUP(F420,Sheet3!$A$106:$C$111,2,FALSE),0)</f>
        <v>18000</v>
      </c>
      <c r="L420">
        <f t="shared" si="42"/>
        <v>38250</v>
      </c>
      <c r="M420">
        <f t="shared" si="43"/>
        <v>68</v>
      </c>
      <c r="N420" t="str">
        <f t="shared" si="46"/>
        <v>Yes</v>
      </c>
      <c r="O420">
        <f t="shared" si="47"/>
        <v>15</v>
      </c>
      <c r="P420" t="str">
        <f t="shared" si="48"/>
        <v>Eid Al Adha</v>
      </c>
      <c r="Q420" t="s">
        <v>124</v>
      </c>
    </row>
    <row r="421" spans="1:17" x14ac:dyDescent="0.3">
      <c r="A421">
        <v>420</v>
      </c>
      <c r="B421" t="s">
        <v>20</v>
      </c>
      <c r="C421" s="1">
        <v>45809</v>
      </c>
      <c r="D421" t="s">
        <v>29</v>
      </c>
      <c r="E421" t="s">
        <v>31</v>
      </c>
      <c r="F421" s="2" t="s">
        <v>40</v>
      </c>
      <c r="G421" t="str">
        <f t="shared" si="44"/>
        <v>Musk 12-UAE</v>
      </c>
      <c r="H421">
        <f t="shared" si="45"/>
        <v>397</v>
      </c>
      <c r="I421">
        <f>VLOOKUP(G421,Table4[[SKU-COUNTRY2]:[Price in USD]],2,FALSE)</f>
        <v>113.4</v>
      </c>
      <c r="J421">
        <f>VLOOKUP(G421,Sheet3!$C$82:$I$100,MATCH(E421,Sheet3!C$82:H$82,0),FALSE) * VLOOKUP(C421,Table8[],2,0)</f>
        <v>45000</v>
      </c>
      <c r="K421">
        <f>ROUND(J421*VLOOKUP(F421,Sheet3!$A$106:$C$111,2,FALSE),0)</f>
        <v>13500</v>
      </c>
      <c r="L421">
        <f t="shared" si="42"/>
        <v>31500</v>
      </c>
      <c r="M421">
        <f t="shared" si="43"/>
        <v>70</v>
      </c>
      <c r="N421" t="str">
        <f t="shared" si="46"/>
        <v>Yes</v>
      </c>
      <c r="O421">
        <f t="shared" si="47"/>
        <v>15</v>
      </c>
      <c r="P421" t="str">
        <f t="shared" si="48"/>
        <v>Eid Al Adha</v>
      </c>
      <c r="Q421" t="s">
        <v>124</v>
      </c>
    </row>
    <row r="422" spans="1:17" x14ac:dyDescent="0.3">
      <c r="A422">
        <v>421</v>
      </c>
      <c r="B422" t="s">
        <v>20</v>
      </c>
      <c r="C422" s="1">
        <v>45809</v>
      </c>
      <c r="D422" t="s">
        <v>29</v>
      </c>
      <c r="E422" t="s">
        <v>33</v>
      </c>
      <c r="F422" s="2" t="s">
        <v>35</v>
      </c>
      <c r="G422" t="str">
        <f t="shared" si="44"/>
        <v>Vanilla 28-UAE</v>
      </c>
      <c r="H422">
        <f t="shared" si="45"/>
        <v>794</v>
      </c>
      <c r="I422">
        <f>VLOOKUP(G422,Table4[[SKU-COUNTRY2]:[Price in USD]],2,FALSE)</f>
        <v>113.4</v>
      </c>
      <c r="J422">
        <f>VLOOKUP(G422,Sheet3!$C$82:$I$100,MATCH(E422,Sheet3!C$82:H$82,0),FALSE) * VLOOKUP(C422,Table8[],2,0)</f>
        <v>90000</v>
      </c>
      <c r="K422">
        <f>ROUND(J422*VLOOKUP(F422,Sheet3!$A$106:$C$111,2,FALSE),0)</f>
        <v>27000</v>
      </c>
      <c r="L422">
        <f t="shared" si="42"/>
        <v>63000</v>
      </c>
      <c r="M422">
        <f t="shared" si="43"/>
        <v>70</v>
      </c>
      <c r="N422" t="str">
        <f t="shared" si="46"/>
        <v>Yes</v>
      </c>
      <c r="O422">
        <f t="shared" si="47"/>
        <v>15</v>
      </c>
      <c r="P422" t="str">
        <f t="shared" si="48"/>
        <v>Eid Al Adha</v>
      </c>
      <c r="Q422" t="s">
        <v>124</v>
      </c>
    </row>
    <row r="423" spans="1:17" x14ac:dyDescent="0.3">
      <c r="A423">
        <v>422</v>
      </c>
      <c r="B423" t="s">
        <v>20</v>
      </c>
      <c r="C423" s="1">
        <v>45809</v>
      </c>
      <c r="D423" t="s">
        <v>29</v>
      </c>
      <c r="E423" t="s">
        <v>33</v>
      </c>
      <c r="F423" s="2" t="s">
        <v>36</v>
      </c>
      <c r="G423" t="str">
        <f t="shared" si="44"/>
        <v>Eden Juicy Apple 01-UAE</v>
      </c>
      <c r="H423">
        <f t="shared" si="45"/>
        <v>595</v>
      </c>
      <c r="I423">
        <f>VLOOKUP(G423,Table4[[SKU-COUNTRY2]:[Price in USD]],2,FALSE)</f>
        <v>113.4</v>
      </c>
      <c r="J423">
        <f>VLOOKUP(G423,Sheet3!$C$82:$I$100,MATCH(E423,Sheet3!C$82:H$82,0),FALSE) * VLOOKUP(C423,Table8[],2,0)</f>
        <v>67500</v>
      </c>
      <c r="K423">
        <f>ROUND(J423*VLOOKUP(F423,Sheet3!$A$106:$C$111,2,FALSE),0)</f>
        <v>20925</v>
      </c>
      <c r="L423">
        <f t="shared" si="42"/>
        <v>46575</v>
      </c>
      <c r="M423">
        <f t="shared" si="43"/>
        <v>69</v>
      </c>
      <c r="N423" t="str">
        <f t="shared" si="46"/>
        <v>Yes</v>
      </c>
      <c r="O423">
        <f t="shared" si="47"/>
        <v>15</v>
      </c>
      <c r="P423" t="str">
        <f t="shared" si="48"/>
        <v>Eid Al Adha</v>
      </c>
      <c r="Q423" t="s">
        <v>124</v>
      </c>
    </row>
    <row r="424" spans="1:17" x14ac:dyDescent="0.3">
      <c r="A424">
        <v>423</v>
      </c>
      <c r="B424" t="s">
        <v>20</v>
      </c>
      <c r="C424" s="1">
        <v>45809</v>
      </c>
      <c r="D424" t="s">
        <v>29</v>
      </c>
      <c r="E424" t="s">
        <v>33</v>
      </c>
      <c r="F424" s="2" t="s">
        <v>37</v>
      </c>
      <c r="G424" t="str">
        <f t="shared" si="44"/>
        <v>Oudgasm Tobacco Oud 04-UAE</v>
      </c>
      <c r="H424">
        <f t="shared" si="45"/>
        <v>1059</v>
      </c>
      <c r="I424">
        <f>VLOOKUP(G424,Table4[[SKU-COUNTRY2]:[Price in USD]],2,FALSE)</f>
        <v>148.77000000000001</v>
      </c>
      <c r="J424">
        <f>VLOOKUP(G424,Sheet3!$C$82:$I$100,MATCH(E424,Sheet3!C$82:H$82,0),FALSE) * VLOOKUP(C424,Table8[],2,0)</f>
        <v>157500</v>
      </c>
      <c r="K424">
        <f>ROUND(J424*VLOOKUP(F424,Sheet3!$A$106:$C$111,2,FALSE),0)</f>
        <v>55125</v>
      </c>
      <c r="L424">
        <f t="shared" si="42"/>
        <v>102375</v>
      </c>
      <c r="M424">
        <f t="shared" si="43"/>
        <v>65</v>
      </c>
      <c r="N424" t="str">
        <f t="shared" si="46"/>
        <v>Yes</v>
      </c>
      <c r="O424">
        <f t="shared" si="47"/>
        <v>15</v>
      </c>
      <c r="P424" t="str">
        <f t="shared" si="48"/>
        <v>Eid Al Adha</v>
      </c>
      <c r="Q424" t="s">
        <v>124</v>
      </c>
    </row>
    <row r="425" spans="1:17" x14ac:dyDescent="0.3">
      <c r="A425">
        <v>424</v>
      </c>
      <c r="B425" t="s">
        <v>20</v>
      </c>
      <c r="C425" s="1">
        <v>45809</v>
      </c>
      <c r="D425" t="s">
        <v>29</v>
      </c>
      <c r="E425" t="s">
        <v>33</v>
      </c>
      <c r="F425" s="2" t="s">
        <v>38</v>
      </c>
      <c r="G425" t="str">
        <f t="shared" si="44"/>
        <v>Yum Pistachio Gelato 33-UAE</v>
      </c>
      <c r="H425">
        <f t="shared" si="45"/>
        <v>476</v>
      </c>
      <c r="I425">
        <f>VLOOKUP(G425,Table4[[SKU-COUNTRY2]:[Price in USD]],2,FALSE)</f>
        <v>113.4</v>
      </c>
      <c r="J425">
        <f>VLOOKUP(G425,Sheet3!$C$82:$I$100,MATCH(E425,Sheet3!C$82:H$82,0),FALSE) * VLOOKUP(C425,Table8[],2,0)</f>
        <v>54000</v>
      </c>
      <c r="K425">
        <f>ROUND(J425*VLOOKUP(F425,Sheet3!$A$106:$C$111,2,FALSE),0)</f>
        <v>16740</v>
      </c>
      <c r="L425">
        <f t="shared" si="42"/>
        <v>37260</v>
      </c>
      <c r="M425">
        <f t="shared" si="43"/>
        <v>69</v>
      </c>
      <c r="N425" t="str">
        <f t="shared" si="46"/>
        <v>Yes</v>
      </c>
      <c r="O425">
        <f t="shared" si="47"/>
        <v>15</v>
      </c>
      <c r="P425" t="str">
        <f t="shared" si="48"/>
        <v>Eid Al Adha</v>
      </c>
      <c r="Q425" t="s">
        <v>124</v>
      </c>
    </row>
    <row r="426" spans="1:17" x14ac:dyDescent="0.3">
      <c r="A426">
        <v>425</v>
      </c>
      <c r="B426" t="s">
        <v>20</v>
      </c>
      <c r="C426" s="1">
        <v>45809</v>
      </c>
      <c r="D426" t="s">
        <v>29</v>
      </c>
      <c r="E426" t="s">
        <v>33</v>
      </c>
      <c r="F426" s="2" t="s">
        <v>39</v>
      </c>
      <c r="G426" t="str">
        <f t="shared" si="44"/>
        <v>Freedom Musk Santal 34-UAE</v>
      </c>
      <c r="H426">
        <f t="shared" si="45"/>
        <v>397</v>
      </c>
      <c r="I426">
        <f>VLOOKUP(G426,Table4[[SKU-COUNTRY2]:[Price in USD]],2,FALSE)</f>
        <v>113.4</v>
      </c>
      <c r="J426">
        <f>VLOOKUP(G426,Sheet3!$C$82:$I$100,MATCH(E426,Sheet3!C$82:H$82,0),FALSE) * VLOOKUP(C426,Table8[],2,0)</f>
        <v>45000</v>
      </c>
      <c r="K426">
        <f>ROUND(J426*VLOOKUP(F426,Sheet3!$A$106:$C$111,2,FALSE),0)</f>
        <v>14400</v>
      </c>
      <c r="L426">
        <f t="shared" si="42"/>
        <v>30600</v>
      </c>
      <c r="M426">
        <f t="shared" si="43"/>
        <v>68</v>
      </c>
      <c r="N426" t="str">
        <f t="shared" si="46"/>
        <v>Yes</v>
      </c>
      <c r="O426">
        <f t="shared" si="47"/>
        <v>15</v>
      </c>
      <c r="P426" t="str">
        <f t="shared" si="48"/>
        <v>Eid Al Adha</v>
      </c>
      <c r="Q426" t="s">
        <v>124</v>
      </c>
    </row>
    <row r="427" spans="1:17" x14ac:dyDescent="0.3">
      <c r="A427">
        <v>426</v>
      </c>
      <c r="B427" t="s">
        <v>20</v>
      </c>
      <c r="C427" s="1">
        <v>45809</v>
      </c>
      <c r="D427" t="s">
        <v>29</v>
      </c>
      <c r="E427" t="s">
        <v>33</v>
      </c>
      <c r="F427" s="2" t="s">
        <v>40</v>
      </c>
      <c r="G427" t="str">
        <f t="shared" si="44"/>
        <v>Musk 12-UAE</v>
      </c>
      <c r="H427">
        <f t="shared" si="45"/>
        <v>317</v>
      </c>
      <c r="I427">
        <f>VLOOKUP(G427,Table4[[SKU-COUNTRY2]:[Price in USD]],2,FALSE)</f>
        <v>113.4</v>
      </c>
      <c r="J427">
        <f>VLOOKUP(G427,Sheet3!$C$82:$I$100,MATCH(E427,Sheet3!C$82:H$82,0),FALSE) * VLOOKUP(C427,Table8[],2,0)</f>
        <v>36000</v>
      </c>
      <c r="K427">
        <f>ROUND(J427*VLOOKUP(F427,Sheet3!$A$106:$C$111,2,FALSE),0)</f>
        <v>10800</v>
      </c>
      <c r="L427">
        <f t="shared" si="42"/>
        <v>25200</v>
      </c>
      <c r="M427">
        <f t="shared" si="43"/>
        <v>70</v>
      </c>
      <c r="N427" t="str">
        <f t="shared" si="46"/>
        <v>Yes</v>
      </c>
      <c r="O427">
        <f t="shared" si="47"/>
        <v>15</v>
      </c>
      <c r="P427" t="str">
        <f t="shared" si="48"/>
        <v>Eid Al Adha</v>
      </c>
      <c r="Q427" t="s">
        <v>124</v>
      </c>
    </row>
    <row r="428" spans="1:17" x14ac:dyDescent="0.3">
      <c r="A428">
        <v>427</v>
      </c>
      <c r="B428" t="s">
        <v>20</v>
      </c>
      <c r="C428" s="1">
        <v>45809</v>
      </c>
      <c r="D428" t="s">
        <v>29</v>
      </c>
      <c r="E428" t="s">
        <v>34</v>
      </c>
      <c r="F428" s="2" t="s">
        <v>35</v>
      </c>
      <c r="G428" t="str">
        <f t="shared" si="44"/>
        <v>Vanilla 28-UAE</v>
      </c>
      <c r="H428">
        <f t="shared" si="45"/>
        <v>397</v>
      </c>
      <c r="I428">
        <f>VLOOKUP(G428,Table4[[SKU-COUNTRY2]:[Price in USD]],2,FALSE)</f>
        <v>113.4</v>
      </c>
      <c r="J428">
        <f>VLOOKUP(G428,Sheet3!$C$82:$I$100,MATCH(E428,Sheet3!C$82:H$82,0),FALSE) * VLOOKUP(C428,Table8[],2,0)</f>
        <v>45000</v>
      </c>
      <c r="K428">
        <f>ROUND(J428*VLOOKUP(F428,Sheet3!$A$106:$C$111,2,FALSE),0)</f>
        <v>13500</v>
      </c>
      <c r="L428">
        <f t="shared" si="42"/>
        <v>31500</v>
      </c>
      <c r="M428">
        <f t="shared" si="43"/>
        <v>70</v>
      </c>
      <c r="N428" t="str">
        <f t="shared" si="46"/>
        <v>Yes</v>
      </c>
      <c r="O428">
        <f t="shared" si="47"/>
        <v>15</v>
      </c>
      <c r="P428" t="str">
        <f t="shared" si="48"/>
        <v>Eid Al Adha</v>
      </c>
      <c r="Q428" t="s">
        <v>124</v>
      </c>
    </row>
    <row r="429" spans="1:17" x14ac:dyDescent="0.3">
      <c r="A429">
        <v>428</v>
      </c>
      <c r="B429" t="s">
        <v>20</v>
      </c>
      <c r="C429" s="1">
        <v>45809</v>
      </c>
      <c r="D429" t="s">
        <v>29</v>
      </c>
      <c r="E429" t="s">
        <v>34</v>
      </c>
      <c r="F429" s="2" t="s">
        <v>36</v>
      </c>
      <c r="G429" t="str">
        <f t="shared" si="44"/>
        <v>Eden Juicy Apple 01-UAE</v>
      </c>
      <c r="H429">
        <f t="shared" si="45"/>
        <v>298</v>
      </c>
      <c r="I429">
        <f>VLOOKUP(G429,Table4[[SKU-COUNTRY2]:[Price in USD]],2,FALSE)</f>
        <v>113.4</v>
      </c>
      <c r="J429">
        <f>VLOOKUP(G429,Sheet3!$C$82:$I$100,MATCH(E429,Sheet3!C$82:H$82,0),FALSE) * VLOOKUP(C429,Table8[],2,0)</f>
        <v>33750</v>
      </c>
      <c r="K429">
        <f>ROUND(J429*VLOOKUP(F429,Sheet3!$A$106:$C$111,2,FALSE),0)</f>
        <v>10463</v>
      </c>
      <c r="L429">
        <f t="shared" si="42"/>
        <v>23287</v>
      </c>
      <c r="M429">
        <f t="shared" si="43"/>
        <v>69</v>
      </c>
      <c r="N429" t="str">
        <f t="shared" si="46"/>
        <v>Yes</v>
      </c>
      <c r="O429">
        <f t="shared" si="47"/>
        <v>15</v>
      </c>
      <c r="P429" t="str">
        <f t="shared" si="48"/>
        <v>Eid Al Adha</v>
      </c>
      <c r="Q429" t="s">
        <v>124</v>
      </c>
    </row>
    <row r="430" spans="1:17" x14ac:dyDescent="0.3">
      <c r="A430">
        <v>429</v>
      </c>
      <c r="B430" t="s">
        <v>20</v>
      </c>
      <c r="C430" s="1">
        <v>45809</v>
      </c>
      <c r="D430" t="s">
        <v>29</v>
      </c>
      <c r="E430" t="s">
        <v>34</v>
      </c>
      <c r="F430" s="2" t="s">
        <v>37</v>
      </c>
      <c r="G430" t="str">
        <f t="shared" si="44"/>
        <v>Oudgasm Tobacco Oud 04-UAE</v>
      </c>
      <c r="H430">
        <f t="shared" si="45"/>
        <v>529</v>
      </c>
      <c r="I430">
        <f>VLOOKUP(G430,Table4[[SKU-COUNTRY2]:[Price in USD]],2,FALSE)</f>
        <v>148.77000000000001</v>
      </c>
      <c r="J430">
        <f>VLOOKUP(G430,Sheet3!$C$82:$I$100,MATCH(E430,Sheet3!C$82:H$82,0),FALSE) * VLOOKUP(C430,Table8[],2,0)</f>
        <v>78750</v>
      </c>
      <c r="K430">
        <f>ROUND(J430*VLOOKUP(F430,Sheet3!$A$106:$C$111,2,FALSE),0)</f>
        <v>27563</v>
      </c>
      <c r="L430">
        <f t="shared" si="42"/>
        <v>51187</v>
      </c>
      <c r="M430">
        <f t="shared" si="43"/>
        <v>65</v>
      </c>
      <c r="N430" t="str">
        <f t="shared" si="46"/>
        <v>Yes</v>
      </c>
      <c r="O430">
        <f t="shared" si="47"/>
        <v>15</v>
      </c>
      <c r="P430" t="str">
        <f t="shared" si="48"/>
        <v>Eid Al Adha</v>
      </c>
      <c r="Q430" t="s">
        <v>124</v>
      </c>
    </row>
    <row r="431" spans="1:17" x14ac:dyDescent="0.3">
      <c r="A431">
        <v>430</v>
      </c>
      <c r="B431" t="s">
        <v>20</v>
      </c>
      <c r="C431" s="1">
        <v>45809</v>
      </c>
      <c r="D431" t="s">
        <v>29</v>
      </c>
      <c r="E431" t="s">
        <v>34</v>
      </c>
      <c r="F431" s="2" t="s">
        <v>38</v>
      </c>
      <c r="G431" t="str">
        <f t="shared" si="44"/>
        <v>Yum Pistachio Gelato 33-UAE</v>
      </c>
      <c r="H431">
        <f t="shared" si="45"/>
        <v>238</v>
      </c>
      <c r="I431">
        <f>VLOOKUP(G431,Table4[[SKU-COUNTRY2]:[Price in USD]],2,FALSE)</f>
        <v>113.4</v>
      </c>
      <c r="J431">
        <f>VLOOKUP(G431,Sheet3!$C$82:$I$100,MATCH(E431,Sheet3!C$82:H$82,0),FALSE) * VLOOKUP(C431,Table8[],2,0)</f>
        <v>27000</v>
      </c>
      <c r="K431">
        <f>ROUND(J431*VLOOKUP(F431,Sheet3!$A$106:$C$111,2,FALSE),0)</f>
        <v>8370</v>
      </c>
      <c r="L431">
        <f t="shared" si="42"/>
        <v>18630</v>
      </c>
      <c r="M431">
        <f t="shared" si="43"/>
        <v>69</v>
      </c>
      <c r="N431" t="str">
        <f t="shared" si="46"/>
        <v>Yes</v>
      </c>
      <c r="O431">
        <f t="shared" si="47"/>
        <v>15</v>
      </c>
      <c r="P431" t="str">
        <f t="shared" si="48"/>
        <v>Eid Al Adha</v>
      </c>
      <c r="Q431" t="s">
        <v>124</v>
      </c>
    </row>
    <row r="432" spans="1:17" x14ac:dyDescent="0.3">
      <c r="A432">
        <v>431</v>
      </c>
      <c r="B432" t="s">
        <v>20</v>
      </c>
      <c r="C432" s="1">
        <v>45809</v>
      </c>
      <c r="D432" t="s">
        <v>29</v>
      </c>
      <c r="E432" t="s">
        <v>34</v>
      </c>
      <c r="F432" s="2" t="s">
        <v>39</v>
      </c>
      <c r="G432" t="str">
        <f t="shared" si="44"/>
        <v>Freedom Musk Santal 34-UAE</v>
      </c>
      <c r="H432">
        <f t="shared" si="45"/>
        <v>198</v>
      </c>
      <c r="I432">
        <f>VLOOKUP(G432,Table4[[SKU-COUNTRY2]:[Price in USD]],2,FALSE)</f>
        <v>113.4</v>
      </c>
      <c r="J432">
        <f>VLOOKUP(G432,Sheet3!$C$82:$I$100,MATCH(E432,Sheet3!C$82:H$82,0),FALSE) * VLOOKUP(C432,Table8[],2,0)</f>
        <v>22500</v>
      </c>
      <c r="K432">
        <f>ROUND(J432*VLOOKUP(F432,Sheet3!$A$106:$C$111,2,FALSE),0)</f>
        <v>7200</v>
      </c>
      <c r="L432">
        <f t="shared" si="42"/>
        <v>15300</v>
      </c>
      <c r="M432">
        <f t="shared" si="43"/>
        <v>68</v>
      </c>
      <c r="N432" t="str">
        <f t="shared" si="46"/>
        <v>Yes</v>
      </c>
      <c r="O432">
        <f t="shared" si="47"/>
        <v>15</v>
      </c>
      <c r="P432" t="str">
        <f t="shared" si="48"/>
        <v>Eid Al Adha</v>
      </c>
      <c r="Q432" t="s">
        <v>124</v>
      </c>
    </row>
    <row r="433" spans="1:17" x14ac:dyDescent="0.3">
      <c r="A433">
        <v>432</v>
      </c>
      <c r="B433" t="s">
        <v>20</v>
      </c>
      <c r="C433" s="1">
        <v>45809</v>
      </c>
      <c r="D433" t="s">
        <v>29</v>
      </c>
      <c r="E433" t="s">
        <v>34</v>
      </c>
      <c r="F433" s="2" t="s">
        <v>40</v>
      </c>
      <c r="G433" t="str">
        <f t="shared" si="44"/>
        <v>Musk 12-UAE</v>
      </c>
      <c r="H433">
        <f t="shared" si="45"/>
        <v>159</v>
      </c>
      <c r="I433">
        <f>VLOOKUP(G433,Table4[[SKU-COUNTRY2]:[Price in USD]],2,FALSE)</f>
        <v>113.4</v>
      </c>
      <c r="J433">
        <f>VLOOKUP(G433,Sheet3!$C$82:$I$100,MATCH(E433,Sheet3!C$82:H$82,0),FALSE) * VLOOKUP(C433,Table8[],2,0)</f>
        <v>18000</v>
      </c>
      <c r="K433">
        <f>ROUND(J433*VLOOKUP(F433,Sheet3!$A$106:$C$111,2,FALSE),0)</f>
        <v>5400</v>
      </c>
      <c r="L433">
        <f t="shared" si="42"/>
        <v>12600</v>
      </c>
      <c r="M433">
        <f t="shared" si="43"/>
        <v>70</v>
      </c>
      <c r="N433" t="str">
        <f t="shared" si="46"/>
        <v>Yes</v>
      </c>
      <c r="O433">
        <f t="shared" si="47"/>
        <v>15</v>
      </c>
      <c r="P433" t="str">
        <f t="shared" si="48"/>
        <v>Eid Al Adha</v>
      </c>
      <c r="Q433" t="s">
        <v>124</v>
      </c>
    </row>
    <row r="434" spans="1:17" x14ac:dyDescent="0.3">
      <c r="A434">
        <v>433</v>
      </c>
      <c r="B434" t="s">
        <v>21</v>
      </c>
      <c r="C434" s="1">
        <v>45839</v>
      </c>
      <c r="D434" t="s">
        <v>28</v>
      </c>
      <c r="E434" t="s">
        <v>32</v>
      </c>
      <c r="F434" s="2" t="s">
        <v>35</v>
      </c>
      <c r="G434" t="str">
        <f t="shared" si="44"/>
        <v>Vanilla 28-USA</v>
      </c>
      <c r="H434">
        <f t="shared" si="45"/>
        <v>21817</v>
      </c>
      <c r="I434">
        <f>VLOOKUP(G434,Table4[[SKU-COUNTRY2]:[Price in USD]],2,FALSE)</f>
        <v>105</v>
      </c>
      <c r="J434">
        <f>VLOOKUP(G434,Sheet3!$C$82:$I$100,MATCH(E434,Sheet3!C$82:H$82,0),FALSE) * VLOOKUP(C434,Table8[],2,0)</f>
        <v>2290750</v>
      </c>
      <c r="K434">
        <f>ROUND(J434*VLOOKUP(F434,Sheet3!$A$106:$C$111,2,FALSE),0)</f>
        <v>687225</v>
      </c>
      <c r="L434">
        <f t="shared" si="42"/>
        <v>1603525</v>
      </c>
      <c r="M434">
        <f t="shared" si="43"/>
        <v>70</v>
      </c>
      <c r="N434" t="str">
        <f t="shared" si="46"/>
        <v>Yes</v>
      </c>
      <c r="O434">
        <f t="shared" si="47"/>
        <v>20</v>
      </c>
      <c r="P434" t="str">
        <f t="shared" si="48"/>
        <v>Summer Sale</v>
      </c>
      <c r="Q434" t="s">
        <v>124</v>
      </c>
    </row>
    <row r="435" spans="1:17" x14ac:dyDescent="0.3">
      <c r="A435">
        <v>434</v>
      </c>
      <c r="B435" t="s">
        <v>21</v>
      </c>
      <c r="C435" s="1">
        <v>45839</v>
      </c>
      <c r="D435" t="s">
        <v>28</v>
      </c>
      <c r="E435" t="s">
        <v>32</v>
      </c>
      <c r="F435" s="2" t="s">
        <v>36</v>
      </c>
      <c r="G435" t="str">
        <f t="shared" si="44"/>
        <v>Eden Juicy Apple 01-USA</v>
      </c>
      <c r="H435">
        <f t="shared" si="45"/>
        <v>12467</v>
      </c>
      <c r="I435">
        <f>VLOOKUP(G435,Table4[[SKU-COUNTRY2]:[Price in USD]],2,FALSE)</f>
        <v>105</v>
      </c>
      <c r="J435">
        <f>VLOOKUP(G435,Sheet3!$C$82:$I$100,MATCH(E435,Sheet3!C$82:H$82,0),FALSE) * VLOOKUP(C435,Table8[],2,0)</f>
        <v>1309000.0000000002</v>
      </c>
      <c r="K435">
        <f>ROUND(J435*VLOOKUP(F435,Sheet3!$A$106:$C$111,2,FALSE),0)</f>
        <v>405790</v>
      </c>
      <c r="L435">
        <f t="shared" si="42"/>
        <v>903210.00000000023</v>
      </c>
      <c r="M435">
        <f t="shared" si="43"/>
        <v>69</v>
      </c>
      <c r="N435" t="str">
        <f t="shared" si="46"/>
        <v>Yes</v>
      </c>
      <c r="O435">
        <f t="shared" si="47"/>
        <v>20</v>
      </c>
      <c r="P435" t="str">
        <f t="shared" si="48"/>
        <v>Summer Sale</v>
      </c>
      <c r="Q435" t="s">
        <v>124</v>
      </c>
    </row>
    <row r="436" spans="1:17" x14ac:dyDescent="0.3">
      <c r="A436">
        <v>435</v>
      </c>
      <c r="B436" t="s">
        <v>21</v>
      </c>
      <c r="C436" s="1">
        <v>45839</v>
      </c>
      <c r="D436" t="s">
        <v>28</v>
      </c>
      <c r="E436" t="s">
        <v>32</v>
      </c>
      <c r="F436" s="2" t="s">
        <v>37</v>
      </c>
      <c r="G436" t="str">
        <f t="shared" si="44"/>
        <v>Oudgasm Tobacco Oud 04-USA</v>
      </c>
      <c r="H436">
        <f t="shared" si="45"/>
        <v>8415</v>
      </c>
      <c r="I436">
        <f>VLOOKUP(G436,Table4[[SKU-COUNTRY2]:[Price in USD]],2,FALSE)</f>
        <v>140</v>
      </c>
      <c r="J436">
        <f>VLOOKUP(G436,Sheet3!$C$82:$I$100,MATCH(E436,Sheet3!C$82:H$82,0),FALSE) * VLOOKUP(C436,Table8[],2,0)</f>
        <v>1178100</v>
      </c>
      <c r="K436">
        <f>ROUND(J436*VLOOKUP(F436,Sheet3!$A$106:$C$111,2,FALSE),0)</f>
        <v>412335</v>
      </c>
      <c r="L436">
        <f t="shared" si="42"/>
        <v>765765</v>
      </c>
      <c r="M436">
        <f t="shared" si="43"/>
        <v>65</v>
      </c>
      <c r="N436" t="str">
        <f t="shared" si="46"/>
        <v>Yes</v>
      </c>
      <c r="O436">
        <f t="shared" si="47"/>
        <v>20</v>
      </c>
      <c r="P436" t="str">
        <f t="shared" si="48"/>
        <v>Summer Sale</v>
      </c>
      <c r="Q436" t="s">
        <v>124</v>
      </c>
    </row>
    <row r="437" spans="1:17" x14ac:dyDescent="0.3">
      <c r="A437">
        <v>436</v>
      </c>
      <c r="B437" t="s">
        <v>21</v>
      </c>
      <c r="C437" s="1">
        <v>45839</v>
      </c>
      <c r="D437" t="s">
        <v>28</v>
      </c>
      <c r="E437" t="s">
        <v>32</v>
      </c>
      <c r="F437" s="2" t="s">
        <v>38</v>
      </c>
      <c r="G437" t="str">
        <f t="shared" si="44"/>
        <v>Yum Pistachio Gelato 33-USA</v>
      </c>
      <c r="H437">
        <f t="shared" si="45"/>
        <v>7480</v>
      </c>
      <c r="I437">
        <f>VLOOKUP(G437,Table4[[SKU-COUNTRY2]:[Price in USD]],2,FALSE)</f>
        <v>105</v>
      </c>
      <c r="J437">
        <f>VLOOKUP(G437,Sheet3!$C$82:$I$100,MATCH(E437,Sheet3!C$82:H$82,0),FALSE) * VLOOKUP(C437,Table8[],2,0)</f>
        <v>785400.00000000012</v>
      </c>
      <c r="K437">
        <f>ROUND(J437*VLOOKUP(F437,Sheet3!$A$106:$C$111,2,FALSE),0)</f>
        <v>243474</v>
      </c>
      <c r="L437">
        <f t="shared" si="42"/>
        <v>541926.00000000012</v>
      </c>
      <c r="M437">
        <f t="shared" si="43"/>
        <v>69</v>
      </c>
      <c r="N437" t="str">
        <f t="shared" si="46"/>
        <v>Yes</v>
      </c>
      <c r="O437">
        <f t="shared" si="47"/>
        <v>20</v>
      </c>
      <c r="P437" t="str">
        <f t="shared" si="48"/>
        <v>Summer Sale</v>
      </c>
      <c r="Q437" t="s">
        <v>124</v>
      </c>
    </row>
    <row r="438" spans="1:17" x14ac:dyDescent="0.3">
      <c r="A438">
        <v>437</v>
      </c>
      <c r="B438" t="s">
        <v>21</v>
      </c>
      <c r="C438" s="1">
        <v>45839</v>
      </c>
      <c r="D438" t="s">
        <v>28</v>
      </c>
      <c r="E438" t="s">
        <v>32</v>
      </c>
      <c r="F438" s="2" t="s">
        <v>39</v>
      </c>
      <c r="G438" t="str">
        <f t="shared" si="44"/>
        <v>Freedom Musk Santal 34-USA</v>
      </c>
      <c r="H438">
        <f t="shared" si="45"/>
        <v>6233</v>
      </c>
      <c r="I438">
        <f>VLOOKUP(G438,Table4[[SKU-COUNTRY2]:[Price in USD]],2,FALSE)</f>
        <v>105</v>
      </c>
      <c r="J438">
        <f>VLOOKUP(G438,Sheet3!$C$82:$I$100,MATCH(E438,Sheet3!C$82:H$82,0),FALSE) * VLOOKUP(C438,Table8[],2,0)</f>
        <v>654500.00000000012</v>
      </c>
      <c r="K438">
        <f>ROUND(J438*VLOOKUP(F438,Sheet3!$A$106:$C$111,2,FALSE),0)</f>
        <v>209440</v>
      </c>
      <c r="L438">
        <f t="shared" si="42"/>
        <v>445060.00000000012</v>
      </c>
      <c r="M438">
        <f t="shared" si="43"/>
        <v>68</v>
      </c>
      <c r="N438" t="str">
        <f t="shared" si="46"/>
        <v>Yes</v>
      </c>
      <c r="O438">
        <f t="shared" si="47"/>
        <v>20</v>
      </c>
      <c r="P438" t="str">
        <f t="shared" si="48"/>
        <v>Summer Sale</v>
      </c>
      <c r="Q438" t="s">
        <v>124</v>
      </c>
    </row>
    <row r="439" spans="1:17" x14ac:dyDescent="0.3">
      <c r="A439">
        <v>438</v>
      </c>
      <c r="B439" t="s">
        <v>21</v>
      </c>
      <c r="C439" s="1">
        <v>45839</v>
      </c>
      <c r="D439" t="s">
        <v>28</v>
      </c>
      <c r="E439" t="s">
        <v>32</v>
      </c>
      <c r="F439" s="2" t="s">
        <v>40</v>
      </c>
      <c r="G439" t="str">
        <f t="shared" si="44"/>
        <v>Musk 12-USA</v>
      </c>
      <c r="H439">
        <f t="shared" si="45"/>
        <v>3117</v>
      </c>
      <c r="I439">
        <f>VLOOKUP(G439,Table4[[SKU-COUNTRY2]:[Price in USD]],2,FALSE)</f>
        <v>105</v>
      </c>
      <c r="J439">
        <f>VLOOKUP(G439,Sheet3!$C$82:$I$100,MATCH(E439,Sheet3!C$82:H$82,0),FALSE) * VLOOKUP(C439,Table8[],2,0)</f>
        <v>327250.00000000006</v>
      </c>
      <c r="K439">
        <f>ROUND(J439*VLOOKUP(F439,Sheet3!$A$106:$C$111,2,FALSE),0)</f>
        <v>98175</v>
      </c>
      <c r="L439">
        <f t="shared" si="42"/>
        <v>229075.00000000006</v>
      </c>
      <c r="M439">
        <f t="shared" si="43"/>
        <v>70</v>
      </c>
      <c r="N439" t="str">
        <f t="shared" si="46"/>
        <v>Yes</v>
      </c>
      <c r="O439">
        <f t="shared" si="47"/>
        <v>20</v>
      </c>
      <c r="P439" t="str">
        <f t="shared" si="48"/>
        <v>Summer Sale</v>
      </c>
      <c r="Q439" t="s">
        <v>124</v>
      </c>
    </row>
    <row r="440" spans="1:17" x14ac:dyDescent="0.3">
      <c r="A440">
        <v>439</v>
      </c>
      <c r="B440" t="s">
        <v>21</v>
      </c>
      <c r="C440" s="1">
        <v>45839</v>
      </c>
      <c r="D440" t="s">
        <v>28</v>
      </c>
      <c r="E440" t="s">
        <v>31</v>
      </c>
      <c r="F440" s="2" t="s">
        <v>35</v>
      </c>
      <c r="G440" t="str">
        <f t="shared" si="44"/>
        <v>Vanilla 28-USA</v>
      </c>
      <c r="H440">
        <f t="shared" si="45"/>
        <v>9917</v>
      </c>
      <c r="I440">
        <f>VLOOKUP(G440,Table4[[SKU-COUNTRY2]:[Price in USD]],2,FALSE)</f>
        <v>105</v>
      </c>
      <c r="J440">
        <f>VLOOKUP(G440,Sheet3!$C$82:$I$100,MATCH(E440,Sheet3!C$82:H$82,0),FALSE) * VLOOKUP(C440,Table8[],2,0)</f>
        <v>1041250</v>
      </c>
      <c r="K440">
        <f>ROUND(J440*VLOOKUP(F440,Sheet3!$A$106:$C$111,2,FALSE),0)</f>
        <v>312375</v>
      </c>
      <c r="L440">
        <f t="shared" si="42"/>
        <v>728875</v>
      </c>
      <c r="M440">
        <f t="shared" si="43"/>
        <v>70</v>
      </c>
      <c r="N440" t="str">
        <f t="shared" si="46"/>
        <v>Yes</v>
      </c>
      <c r="O440">
        <f t="shared" si="47"/>
        <v>20</v>
      </c>
      <c r="P440" t="str">
        <f t="shared" si="48"/>
        <v>Summer Sale</v>
      </c>
      <c r="Q440" t="s">
        <v>124</v>
      </c>
    </row>
    <row r="441" spans="1:17" x14ac:dyDescent="0.3">
      <c r="A441">
        <v>440</v>
      </c>
      <c r="B441" t="s">
        <v>21</v>
      </c>
      <c r="C441" s="1">
        <v>45839</v>
      </c>
      <c r="D441" t="s">
        <v>28</v>
      </c>
      <c r="E441" t="s">
        <v>31</v>
      </c>
      <c r="F441" s="2" t="s">
        <v>36</v>
      </c>
      <c r="G441" t="str">
        <f t="shared" si="44"/>
        <v>Eden Juicy Apple 01-USA</v>
      </c>
      <c r="H441">
        <f t="shared" si="45"/>
        <v>5667</v>
      </c>
      <c r="I441">
        <f>VLOOKUP(G441,Table4[[SKU-COUNTRY2]:[Price in USD]],2,FALSE)</f>
        <v>105</v>
      </c>
      <c r="J441">
        <f>VLOOKUP(G441,Sheet3!$C$82:$I$100,MATCH(E441,Sheet3!C$82:H$82,0),FALSE) * VLOOKUP(C441,Table8[],2,0)</f>
        <v>595000</v>
      </c>
      <c r="K441">
        <f>ROUND(J441*VLOOKUP(F441,Sheet3!$A$106:$C$111,2,FALSE),0)</f>
        <v>184450</v>
      </c>
      <c r="L441">
        <f t="shared" si="42"/>
        <v>410550</v>
      </c>
      <c r="M441">
        <f t="shared" si="43"/>
        <v>69</v>
      </c>
      <c r="N441" t="str">
        <f t="shared" si="46"/>
        <v>Yes</v>
      </c>
      <c r="O441">
        <f t="shared" si="47"/>
        <v>20</v>
      </c>
      <c r="P441" t="str">
        <f t="shared" si="48"/>
        <v>Summer Sale</v>
      </c>
      <c r="Q441" t="s">
        <v>124</v>
      </c>
    </row>
    <row r="442" spans="1:17" x14ac:dyDescent="0.3">
      <c r="A442">
        <v>441</v>
      </c>
      <c r="B442" t="s">
        <v>21</v>
      </c>
      <c r="C442" s="1">
        <v>45839</v>
      </c>
      <c r="D442" t="s">
        <v>28</v>
      </c>
      <c r="E442" t="s">
        <v>31</v>
      </c>
      <c r="F442" s="2" t="s">
        <v>37</v>
      </c>
      <c r="G442" t="str">
        <f t="shared" si="44"/>
        <v>Oudgasm Tobacco Oud 04-USA</v>
      </c>
      <c r="H442">
        <f t="shared" si="45"/>
        <v>3825</v>
      </c>
      <c r="I442">
        <f>VLOOKUP(G442,Table4[[SKU-COUNTRY2]:[Price in USD]],2,FALSE)</f>
        <v>140</v>
      </c>
      <c r="J442">
        <f>VLOOKUP(G442,Sheet3!$C$82:$I$100,MATCH(E442,Sheet3!C$82:H$82,0),FALSE) * VLOOKUP(C442,Table8[],2,0)</f>
        <v>535500</v>
      </c>
      <c r="K442">
        <f>ROUND(J442*VLOOKUP(F442,Sheet3!$A$106:$C$111,2,FALSE),0)</f>
        <v>187425</v>
      </c>
      <c r="L442">
        <f t="shared" si="42"/>
        <v>348075</v>
      </c>
      <c r="M442">
        <f t="shared" si="43"/>
        <v>65</v>
      </c>
      <c r="N442" t="str">
        <f t="shared" si="46"/>
        <v>Yes</v>
      </c>
      <c r="O442">
        <f t="shared" si="47"/>
        <v>20</v>
      </c>
      <c r="P442" t="str">
        <f t="shared" si="48"/>
        <v>Summer Sale</v>
      </c>
      <c r="Q442" t="s">
        <v>124</v>
      </c>
    </row>
    <row r="443" spans="1:17" x14ac:dyDescent="0.3">
      <c r="A443">
        <v>442</v>
      </c>
      <c r="B443" t="s">
        <v>21</v>
      </c>
      <c r="C443" s="1">
        <v>45839</v>
      </c>
      <c r="D443" t="s">
        <v>28</v>
      </c>
      <c r="E443" t="s">
        <v>31</v>
      </c>
      <c r="F443" s="2" t="s">
        <v>38</v>
      </c>
      <c r="G443" t="str">
        <f t="shared" si="44"/>
        <v>Yum Pistachio Gelato 33-USA</v>
      </c>
      <c r="H443">
        <f t="shared" si="45"/>
        <v>3400</v>
      </c>
      <c r="I443">
        <f>VLOOKUP(G443,Table4[[SKU-COUNTRY2]:[Price in USD]],2,FALSE)</f>
        <v>105</v>
      </c>
      <c r="J443">
        <f>VLOOKUP(G443,Sheet3!$C$82:$I$100,MATCH(E443,Sheet3!C$82:H$82,0),FALSE) * VLOOKUP(C443,Table8[],2,0)</f>
        <v>357000</v>
      </c>
      <c r="K443">
        <f>ROUND(J443*VLOOKUP(F443,Sheet3!$A$106:$C$111,2,FALSE),0)</f>
        <v>110670</v>
      </c>
      <c r="L443">
        <f t="shared" si="42"/>
        <v>246330</v>
      </c>
      <c r="M443">
        <f t="shared" si="43"/>
        <v>69</v>
      </c>
      <c r="N443" t="str">
        <f t="shared" si="46"/>
        <v>Yes</v>
      </c>
      <c r="O443">
        <f t="shared" si="47"/>
        <v>20</v>
      </c>
      <c r="P443" t="str">
        <f t="shared" si="48"/>
        <v>Summer Sale</v>
      </c>
      <c r="Q443" t="s">
        <v>124</v>
      </c>
    </row>
    <row r="444" spans="1:17" x14ac:dyDescent="0.3">
      <c r="A444">
        <v>443</v>
      </c>
      <c r="B444" t="s">
        <v>21</v>
      </c>
      <c r="C444" s="1">
        <v>45839</v>
      </c>
      <c r="D444" t="s">
        <v>28</v>
      </c>
      <c r="E444" t="s">
        <v>31</v>
      </c>
      <c r="F444" s="2" t="s">
        <v>39</v>
      </c>
      <c r="G444" t="str">
        <f t="shared" si="44"/>
        <v>Freedom Musk Santal 34-USA</v>
      </c>
      <c r="H444">
        <f t="shared" si="45"/>
        <v>2833</v>
      </c>
      <c r="I444">
        <f>VLOOKUP(G444,Table4[[SKU-COUNTRY2]:[Price in USD]],2,FALSE)</f>
        <v>105</v>
      </c>
      <c r="J444">
        <f>VLOOKUP(G444,Sheet3!$C$82:$I$100,MATCH(E444,Sheet3!C$82:H$82,0),FALSE) * VLOOKUP(C444,Table8[],2,0)</f>
        <v>297500</v>
      </c>
      <c r="K444">
        <f>ROUND(J444*VLOOKUP(F444,Sheet3!$A$106:$C$111,2,FALSE),0)</f>
        <v>95200</v>
      </c>
      <c r="L444">
        <f t="shared" si="42"/>
        <v>202300</v>
      </c>
      <c r="M444">
        <f t="shared" si="43"/>
        <v>68</v>
      </c>
      <c r="N444" t="str">
        <f t="shared" si="46"/>
        <v>Yes</v>
      </c>
      <c r="O444">
        <f t="shared" si="47"/>
        <v>20</v>
      </c>
      <c r="P444" t="str">
        <f t="shared" si="48"/>
        <v>Summer Sale</v>
      </c>
      <c r="Q444" t="s">
        <v>124</v>
      </c>
    </row>
    <row r="445" spans="1:17" x14ac:dyDescent="0.3">
      <c r="A445">
        <v>444</v>
      </c>
      <c r="B445" t="s">
        <v>21</v>
      </c>
      <c r="C445" s="1">
        <v>45839</v>
      </c>
      <c r="D445" t="s">
        <v>28</v>
      </c>
      <c r="E445" t="s">
        <v>31</v>
      </c>
      <c r="F445" s="2" t="s">
        <v>40</v>
      </c>
      <c r="G445" t="str">
        <f t="shared" si="44"/>
        <v>Musk 12-USA</v>
      </c>
      <c r="H445">
        <f t="shared" si="45"/>
        <v>1417</v>
      </c>
      <c r="I445">
        <f>VLOOKUP(G445,Table4[[SKU-COUNTRY2]:[Price in USD]],2,FALSE)</f>
        <v>105</v>
      </c>
      <c r="J445">
        <f>VLOOKUP(G445,Sheet3!$C$82:$I$100,MATCH(E445,Sheet3!C$82:H$82,0),FALSE) * VLOOKUP(C445,Table8[],2,0)</f>
        <v>148750</v>
      </c>
      <c r="K445">
        <f>ROUND(J445*VLOOKUP(F445,Sheet3!$A$106:$C$111,2,FALSE),0)</f>
        <v>44625</v>
      </c>
      <c r="L445">
        <f t="shared" si="42"/>
        <v>104125</v>
      </c>
      <c r="M445">
        <f t="shared" si="43"/>
        <v>70</v>
      </c>
      <c r="N445" t="str">
        <f t="shared" si="46"/>
        <v>Yes</v>
      </c>
      <c r="O445">
        <f t="shared" si="47"/>
        <v>20</v>
      </c>
      <c r="P445" t="str">
        <f t="shared" si="48"/>
        <v>Summer Sale</v>
      </c>
      <c r="Q445" t="s">
        <v>124</v>
      </c>
    </row>
    <row r="446" spans="1:17" x14ac:dyDescent="0.3">
      <c r="A446">
        <v>445</v>
      </c>
      <c r="B446" t="s">
        <v>21</v>
      </c>
      <c r="C446" s="1">
        <v>45839</v>
      </c>
      <c r="D446" t="s">
        <v>28</v>
      </c>
      <c r="E446" t="s">
        <v>33</v>
      </c>
      <c r="F446" s="2" t="s">
        <v>35</v>
      </c>
      <c r="G446" t="str">
        <f t="shared" si="44"/>
        <v>Vanilla 28-USA</v>
      </c>
      <c r="H446">
        <f t="shared" si="45"/>
        <v>4760</v>
      </c>
      <c r="I446">
        <f>VLOOKUP(G446,Table4[[SKU-COUNTRY2]:[Price in USD]],2,FALSE)</f>
        <v>105</v>
      </c>
      <c r="J446">
        <f>VLOOKUP(G446,Sheet3!$C$82:$I$100,MATCH(E446,Sheet3!C$82:H$82,0),FALSE) * VLOOKUP(C446,Table8[],2,0)</f>
        <v>499800</v>
      </c>
      <c r="K446">
        <f>ROUND(J446*VLOOKUP(F446,Sheet3!$A$106:$C$111,2,FALSE),0)</f>
        <v>149940</v>
      </c>
      <c r="L446">
        <f t="shared" si="42"/>
        <v>349860</v>
      </c>
      <c r="M446">
        <f t="shared" si="43"/>
        <v>70</v>
      </c>
      <c r="N446" t="str">
        <f t="shared" si="46"/>
        <v>Yes</v>
      </c>
      <c r="O446">
        <f t="shared" si="47"/>
        <v>20</v>
      </c>
      <c r="P446" t="str">
        <f t="shared" si="48"/>
        <v>Summer Sale</v>
      </c>
      <c r="Q446" t="s">
        <v>124</v>
      </c>
    </row>
    <row r="447" spans="1:17" x14ac:dyDescent="0.3">
      <c r="A447">
        <v>446</v>
      </c>
      <c r="B447" t="s">
        <v>21</v>
      </c>
      <c r="C447" s="1">
        <v>45839</v>
      </c>
      <c r="D447" t="s">
        <v>28</v>
      </c>
      <c r="E447" t="s">
        <v>33</v>
      </c>
      <c r="F447" s="2" t="s">
        <v>36</v>
      </c>
      <c r="G447" t="str">
        <f t="shared" si="44"/>
        <v>Eden Juicy Apple 01-USA</v>
      </c>
      <c r="H447">
        <f t="shared" si="45"/>
        <v>2720</v>
      </c>
      <c r="I447">
        <f>VLOOKUP(G447,Table4[[SKU-COUNTRY2]:[Price in USD]],2,FALSE)</f>
        <v>105</v>
      </c>
      <c r="J447">
        <f>VLOOKUP(G447,Sheet3!$C$82:$I$100,MATCH(E447,Sheet3!C$82:H$82,0),FALSE) * VLOOKUP(C447,Table8[],2,0)</f>
        <v>285600</v>
      </c>
      <c r="K447">
        <f>ROUND(J447*VLOOKUP(F447,Sheet3!$A$106:$C$111,2,FALSE),0)</f>
        <v>88536</v>
      </c>
      <c r="L447">
        <f t="shared" si="42"/>
        <v>197064</v>
      </c>
      <c r="M447">
        <f t="shared" si="43"/>
        <v>69</v>
      </c>
      <c r="N447" t="str">
        <f t="shared" si="46"/>
        <v>Yes</v>
      </c>
      <c r="O447">
        <f t="shared" si="47"/>
        <v>20</v>
      </c>
      <c r="P447" t="str">
        <f t="shared" si="48"/>
        <v>Summer Sale</v>
      </c>
      <c r="Q447" t="s">
        <v>124</v>
      </c>
    </row>
    <row r="448" spans="1:17" x14ac:dyDescent="0.3">
      <c r="A448">
        <v>447</v>
      </c>
      <c r="B448" t="s">
        <v>21</v>
      </c>
      <c r="C448" s="1">
        <v>45839</v>
      </c>
      <c r="D448" t="s">
        <v>28</v>
      </c>
      <c r="E448" t="s">
        <v>33</v>
      </c>
      <c r="F448" s="2" t="s">
        <v>37</v>
      </c>
      <c r="G448" t="str">
        <f t="shared" si="44"/>
        <v>Oudgasm Tobacco Oud 04-USA</v>
      </c>
      <c r="H448">
        <f t="shared" si="45"/>
        <v>1836</v>
      </c>
      <c r="I448">
        <f>VLOOKUP(G448,Table4[[SKU-COUNTRY2]:[Price in USD]],2,FALSE)</f>
        <v>140</v>
      </c>
      <c r="J448">
        <f>VLOOKUP(G448,Sheet3!$C$82:$I$100,MATCH(E448,Sheet3!C$82:H$82,0),FALSE) * VLOOKUP(C448,Table8[],2,0)</f>
        <v>257040</v>
      </c>
      <c r="K448">
        <f>ROUND(J448*VLOOKUP(F448,Sheet3!$A$106:$C$111,2,FALSE),0)</f>
        <v>89964</v>
      </c>
      <c r="L448">
        <f t="shared" si="42"/>
        <v>167076</v>
      </c>
      <c r="M448">
        <f t="shared" si="43"/>
        <v>65</v>
      </c>
      <c r="N448" t="str">
        <f t="shared" si="46"/>
        <v>Yes</v>
      </c>
      <c r="O448">
        <f t="shared" si="47"/>
        <v>20</v>
      </c>
      <c r="P448" t="str">
        <f t="shared" si="48"/>
        <v>Summer Sale</v>
      </c>
      <c r="Q448" t="s">
        <v>124</v>
      </c>
    </row>
    <row r="449" spans="1:17" x14ac:dyDescent="0.3">
      <c r="A449">
        <v>448</v>
      </c>
      <c r="B449" t="s">
        <v>21</v>
      </c>
      <c r="C449" s="1">
        <v>45839</v>
      </c>
      <c r="D449" t="s">
        <v>28</v>
      </c>
      <c r="E449" t="s">
        <v>33</v>
      </c>
      <c r="F449" s="2" t="s">
        <v>38</v>
      </c>
      <c r="G449" t="str">
        <f t="shared" si="44"/>
        <v>Yum Pistachio Gelato 33-USA</v>
      </c>
      <c r="H449">
        <f t="shared" si="45"/>
        <v>1632</v>
      </c>
      <c r="I449">
        <f>VLOOKUP(G449,Table4[[SKU-COUNTRY2]:[Price in USD]],2,FALSE)</f>
        <v>105</v>
      </c>
      <c r="J449">
        <f>VLOOKUP(G449,Sheet3!$C$82:$I$100,MATCH(E449,Sheet3!C$82:H$82,0),FALSE) * VLOOKUP(C449,Table8[],2,0)</f>
        <v>171360</v>
      </c>
      <c r="K449">
        <f>ROUND(J449*VLOOKUP(F449,Sheet3!$A$106:$C$111,2,FALSE),0)</f>
        <v>53122</v>
      </c>
      <c r="L449">
        <f t="shared" si="42"/>
        <v>118238</v>
      </c>
      <c r="M449">
        <f t="shared" si="43"/>
        <v>69</v>
      </c>
      <c r="N449" t="str">
        <f t="shared" si="46"/>
        <v>Yes</v>
      </c>
      <c r="O449">
        <f t="shared" si="47"/>
        <v>20</v>
      </c>
      <c r="P449" t="str">
        <f t="shared" si="48"/>
        <v>Summer Sale</v>
      </c>
      <c r="Q449" t="s">
        <v>124</v>
      </c>
    </row>
    <row r="450" spans="1:17" x14ac:dyDescent="0.3">
      <c r="A450">
        <v>449</v>
      </c>
      <c r="B450" t="s">
        <v>21</v>
      </c>
      <c r="C450" s="1">
        <v>45839</v>
      </c>
      <c r="D450" t="s">
        <v>28</v>
      </c>
      <c r="E450" t="s">
        <v>33</v>
      </c>
      <c r="F450" s="2" t="s">
        <v>39</v>
      </c>
      <c r="G450" t="str">
        <f t="shared" si="44"/>
        <v>Freedom Musk Santal 34-USA</v>
      </c>
      <c r="H450">
        <f t="shared" si="45"/>
        <v>1360</v>
      </c>
      <c r="I450">
        <f>VLOOKUP(G450,Table4[[SKU-COUNTRY2]:[Price in USD]],2,FALSE)</f>
        <v>105</v>
      </c>
      <c r="J450">
        <f>VLOOKUP(G450,Sheet3!$C$82:$I$100,MATCH(E450,Sheet3!C$82:H$82,0),FALSE) * VLOOKUP(C450,Table8[],2,0)</f>
        <v>142800</v>
      </c>
      <c r="K450">
        <f>ROUND(J450*VLOOKUP(F450,Sheet3!$A$106:$C$111,2,FALSE),0)</f>
        <v>45696</v>
      </c>
      <c r="L450">
        <f t="shared" ref="L450:L513" si="49">J450-K450</f>
        <v>97104</v>
      </c>
      <c r="M450">
        <f t="shared" ref="M450:M513" si="50">ROUND(L450/J450*100, 1)</f>
        <v>68</v>
      </c>
      <c r="N450" t="str">
        <f t="shared" si="46"/>
        <v>Yes</v>
      </c>
      <c r="O450">
        <f t="shared" si="47"/>
        <v>20</v>
      </c>
      <c r="P450" t="str">
        <f t="shared" si="48"/>
        <v>Summer Sale</v>
      </c>
      <c r="Q450" t="s">
        <v>124</v>
      </c>
    </row>
    <row r="451" spans="1:17" x14ac:dyDescent="0.3">
      <c r="A451">
        <v>450</v>
      </c>
      <c r="B451" t="s">
        <v>21</v>
      </c>
      <c r="C451" s="1">
        <v>45839</v>
      </c>
      <c r="D451" t="s">
        <v>28</v>
      </c>
      <c r="E451" t="s">
        <v>33</v>
      </c>
      <c r="F451" s="2" t="s">
        <v>40</v>
      </c>
      <c r="G451" t="str">
        <f t="shared" ref="G451:G514" si="51">_xlfn.CONCAT(F451,"-",D451,)</f>
        <v>Musk 12-USA</v>
      </c>
      <c r="H451">
        <f t="shared" ref="H451:H514" si="52">ROUND(J451/I451,0)</f>
        <v>680</v>
      </c>
      <c r="I451">
        <f>VLOOKUP(G451,Table4[[SKU-COUNTRY2]:[Price in USD]],2,FALSE)</f>
        <v>105</v>
      </c>
      <c r="J451">
        <f>VLOOKUP(G451,Sheet3!$C$82:$I$100,MATCH(E451,Sheet3!C$82:H$82,0),FALSE) * VLOOKUP(C451,Table8[],2,0)</f>
        <v>71400</v>
      </c>
      <c r="K451">
        <f>ROUND(J451*VLOOKUP(F451,Sheet3!$A$106:$C$111,2,FALSE),0)</f>
        <v>21420</v>
      </c>
      <c r="L451">
        <f t="shared" si="49"/>
        <v>49980</v>
      </c>
      <c r="M451">
        <f t="shared" si="50"/>
        <v>70</v>
      </c>
      <c r="N451" t="str">
        <f t="shared" ref="N451:N514" si="53">IF(OR(
    MONTH(C451)=2,
    AND(MONTH(C451)=3, D451="UAE"),
    AND(MONTH(C451)=6, D451="UAE"),
    AND(MONTH(C451)=7, OR(D451="USA", D451="UK")),
    MONTH(C451)=9,
    AND(MONTH(C451)=11, OR(D451="USA", D451="UK"))
), "Yes", "No")</f>
        <v>Yes</v>
      </c>
      <c r="O451">
        <f t="shared" ref="O451:O514" si="54">IF(MONTH(C451)=2, 15,
IF(AND(MONTH(C451)=3, D451="UAE"), 20,
IF(AND(MONTH(C451)=6, D451="UAE"), 15,
IF(AND(MONTH(C451)=7, OR(D451="USA", D451="UK")), 20,
IF(AND(MONTH(C451)=11, OR(D451="USA", D451="UK")), 25,
0)))))</f>
        <v>20</v>
      </c>
      <c r="P451" t="str">
        <f t="shared" ref="P451:P514" si="55">IF(MONTH(C451)=2, "Valentine's Day",
IF(AND(MONTH(C451)=3, D451="UAE"), "Eid Al Fitr",
IF(AND(MONTH(C451)=6, D451="UAE"), "Eid Al Adha",
IF(AND(MONTH(C451)=7, OR(D451="USA", D451="UK")), "Summer Sale",
IF(MONTH(C451)=9, "Freedom Launch",
IF(AND(MONTH(C451)=11, OR(D451="USA", D451="UK")), "Black Friday",
"None"))))))</f>
        <v>Summer Sale</v>
      </c>
      <c r="Q451" t="s">
        <v>124</v>
      </c>
    </row>
    <row r="452" spans="1:17" x14ac:dyDescent="0.3">
      <c r="A452">
        <v>451</v>
      </c>
      <c r="B452" t="s">
        <v>21</v>
      </c>
      <c r="C452" s="1">
        <v>45839</v>
      </c>
      <c r="D452" t="s">
        <v>28</v>
      </c>
      <c r="E452" t="s">
        <v>34</v>
      </c>
      <c r="F452" s="2" t="s">
        <v>35</v>
      </c>
      <c r="G452" t="str">
        <f t="shared" si="51"/>
        <v>Vanilla 28-USA</v>
      </c>
      <c r="H452">
        <f t="shared" si="52"/>
        <v>3173</v>
      </c>
      <c r="I452">
        <f>VLOOKUP(G452,Table4[[SKU-COUNTRY2]:[Price in USD]],2,FALSE)</f>
        <v>105</v>
      </c>
      <c r="J452">
        <f>VLOOKUP(G452,Sheet3!$C$82:$I$100,MATCH(E452,Sheet3!C$82:H$82,0),FALSE) * VLOOKUP(C452,Table8[],2,0)</f>
        <v>333200</v>
      </c>
      <c r="K452">
        <f>ROUND(J452*VLOOKUP(F452,Sheet3!$A$106:$C$111,2,FALSE),0)</f>
        <v>99960</v>
      </c>
      <c r="L452">
        <f t="shared" si="49"/>
        <v>233240</v>
      </c>
      <c r="M452">
        <f t="shared" si="50"/>
        <v>70</v>
      </c>
      <c r="N452" t="str">
        <f t="shared" si="53"/>
        <v>Yes</v>
      </c>
      <c r="O452">
        <f t="shared" si="54"/>
        <v>20</v>
      </c>
      <c r="P452" t="str">
        <f t="shared" si="55"/>
        <v>Summer Sale</v>
      </c>
      <c r="Q452" t="s">
        <v>124</v>
      </c>
    </row>
    <row r="453" spans="1:17" x14ac:dyDescent="0.3">
      <c r="A453">
        <v>452</v>
      </c>
      <c r="B453" t="s">
        <v>21</v>
      </c>
      <c r="C453" s="1">
        <v>45839</v>
      </c>
      <c r="D453" t="s">
        <v>28</v>
      </c>
      <c r="E453" t="s">
        <v>34</v>
      </c>
      <c r="F453" s="2" t="s">
        <v>36</v>
      </c>
      <c r="G453" t="str">
        <f t="shared" si="51"/>
        <v>Eden Juicy Apple 01-USA</v>
      </c>
      <c r="H453">
        <f t="shared" si="52"/>
        <v>1813</v>
      </c>
      <c r="I453">
        <f>VLOOKUP(G453,Table4[[SKU-COUNTRY2]:[Price in USD]],2,FALSE)</f>
        <v>105</v>
      </c>
      <c r="J453">
        <f>VLOOKUP(G453,Sheet3!$C$82:$I$100,MATCH(E453,Sheet3!C$82:H$82,0),FALSE) * VLOOKUP(C453,Table8[],2,0)</f>
        <v>190400</v>
      </c>
      <c r="K453">
        <f>ROUND(J453*VLOOKUP(F453,Sheet3!$A$106:$C$111,2,FALSE),0)</f>
        <v>59024</v>
      </c>
      <c r="L453">
        <f t="shared" si="49"/>
        <v>131376</v>
      </c>
      <c r="M453">
        <f t="shared" si="50"/>
        <v>69</v>
      </c>
      <c r="N453" t="str">
        <f t="shared" si="53"/>
        <v>Yes</v>
      </c>
      <c r="O453">
        <f t="shared" si="54"/>
        <v>20</v>
      </c>
      <c r="P453" t="str">
        <f t="shared" si="55"/>
        <v>Summer Sale</v>
      </c>
      <c r="Q453" t="s">
        <v>124</v>
      </c>
    </row>
    <row r="454" spans="1:17" x14ac:dyDescent="0.3">
      <c r="A454">
        <v>453</v>
      </c>
      <c r="B454" t="s">
        <v>21</v>
      </c>
      <c r="C454" s="1">
        <v>45839</v>
      </c>
      <c r="D454" t="s">
        <v>28</v>
      </c>
      <c r="E454" t="s">
        <v>34</v>
      </c>
      <c r="F454" s="2" t="s">
        <v>37</v>
      </c>
      <c r="G454" t="str">
        <f t="shared" si="51"/>
        <v>Oudgasm Tobacco Oud 04-USA</v>
      </c>
      <c r="H454">
        <f t="shared" si="52"/>
        <v>1224</v>
      </c>
      <c r="I454">
        <f>VLOOKUP(G454,Table4[[SKU-COUNTRY2]:[Price in USD]],2,FALSE)</f>
        <v>140</v>
      </c>
      <c r="J454">
        <f>VLOOKUP(G454,Sheet3!$C$82:$I$100,MATCH(E454,Sheet3!C$82:H$82,0),FALSE) * VLOOKUP(C454,Table8[],2,0)</f>
        <v>171360</v>
      </c>
      <c r="K454">
        <f>ROUND(J454*VLOOKUP(F454,Sheet3!$A$106:$C$111,2,FALSE),0)</f>
        <v>59976</v>
      </c>
      <c r="L454">
        <f t="shared" si="49"/>
        <v>111384</v>
      </c>
      <c r="M454">
        <f t="shared" si="50"/>
        <v>65</v>
      </c>
      <c r="N454" t="str">
        <f t="shared" si="53"/>
        <v>Yes</v>
      </c>
      <c r="O454">
        <f t="shared" si="54"/>
        <v>20</v>
      </c>
      <c r="P454" t="str">
        <f t="shared" si="55"/>
        <v>Summer Sale</v>
      </c>
      <c r="Q454" t="s">
        <v>124</v>
      </c>
    </row>
    <row r="455" spans="1:17" x14ac:dyDescent="0.3">
      <c r="A455">
        <v>454</v>
      </c>
      <c r="B455" t="s">
        <v>21</v>
      </c>
      <c r="C455" s="1">
        <v>45839</v>
      </c>
      <c r="D455" t="s">
        <v>28</v>
      </c>
      <c r="E455" t="s">
        <v>34</v>
      </c>
      <c r="F455" s="2" t="s">
        <v>38</v>
      </c>
      <c r="G455" t="str">
        <f t="shared" si="51"/>
        <v>Yum Pistachio Gelato 33-USA</v>
      </c>
      <c r="H455">
        <f t="shared" si="52"/>
        <v>1088</v>
      </c>
      <c r="I455">
        <f>VLOOKUP(G455,Table4[[SKU-COUNTRY2]:[Price in USD]],2,FALSE)</f>
        <v>105</v>
      </c>
      <c r="J455">
        <f>VLOOKUP(G455,Sheet3!$C$82:$I$100,MATCH(E455,Sheet3!C$82:H$82,0),FALSE) * VLOOKUP(C455,Table8[],2,0)</f>
        <v>114240</v>
      </c>
      <c r="K455">
        <f>ROUND(J455*VLOOKUP(F455,Sheet3!$A$106:$C$111,2,FALSE),0)</f>
        <v>35414</v>
      </c>
      <c r="L455">
        <f t="shared" si="49"/>
        <v>78826</v>
      </c>
      <c r="M455">
        <f t="shared" si="50"/>
        <v>69</v>
      </c>
      <c r="N455" t="str">
        <f t="shared" si="53"/>
        <v>Yes</v>
      </c>
      <c r="O455">
        <f t="shared" si="54"/>
        <v>20</v>
      </c>
      <c r="P455" t="str">
        <f t="shared" si="55"/>
        <v>Summer Sale</v>
      </c>
      <c r="Q455" t="s">
        <v>124</v>
      </c>
    </row>
    <row r="456" spans="1:17" x14ac:dyDescent="0.3">
      <c r="A456">
        <v>455</v>
      </c>
      <c r="B456" t="s">
        <v>21</v>
      </c>
      <c r="C456" s="1">
        <v>45839</v>
      </c>
      <c r="D456" t="s">
        <v>28</v>
      </c>
      <c r="E456" t="s">
        <v>34</v>
      </c>
      <c r="F456" s="2" t="s">
        <v>39</v>
      </c>
      <c r="G456" t="str">
        <f t="shared" si="51"/>
        <v>Freedom Musk Santal 34-USA</v>
      </c>
      <c r="H456">
        <f t="shared" si="52"/>
        <v>907</v>
      </c>
      <c r="I456">
        <f>VLOOKUP(G456,Table4[[SKU-COUNTRY2]:[Price in USD]],2,FALSE)</f>
        <v>105</v>
      </c>
      <c r="J456">
        <f>VLOOKUP(G456,Sheet3!$C$82:$I$100,MATCH(E456,Sheet3!C$82:H$82,0),FALSE) * VLOOKUP(C456,Table8[],2,0)</f>
        <v>95200</v>
      </c>
      <c r="K456">
        <f>ROUND(J456*VLOOKUP(F456,Sheet3!$A$106:$C$111,2,FALSE),0)</f>
        <v>30464</v>
      </c>
      <c r="L456">
        <f t="shared" si="49"/>
        <v>64736</v>
      </c>
      <c r="M456">
        <f t="shared" si="50"/>
        <v>68</v>
      </c>
      <c r="N456" t="str">
        <f t="shared" si="53"/>
        <v>Yes</v>
      </c>
      <c r="O456">
        <f t="shared" si="54"/>
        <v>20</v>
      </c>
      <c r="P456" t="str">
        <f t="shared" si="55"/>
        <v>Summer Sale</v>
      </c>
      <c r="Q456" t="s">
        <v>124</v>
      </c>
    </row>
    <row r="457" spans="1:17" x14ac:dyDescent="0.3">
      <c r="A457">
        <v>456</v>
      </c>
      <c r="B457" t="s">
        <v>21</v>
      </c>
      <c r="C457" s="1">
        <v>45839</v>
      </c>
      <c r="D457" t="s">
        <v>28</v>
      </c>
      <c r="E457" t="s">
        <v>34</v>
      </c>
      <c r="F457" s="2" t="s">
        <v>40</v>
      </c>
      <c r="G457" t="str">
        <f t="shared" si="51"/>
        <v>Musk 12-USA</v>
      </c>
      <c r="H457">
        <f t="shared" si="52"/>
        <v>453</v>
      </c>
      <c r="I457">
        <f>VLOOKUP(G457,Table4[[SKU-COUNTRY2]:[Price in USD]],2,FALSE)</f>
        <v>105</v>
      </c>
      <c r="J457">
        <f>VLOOKUP(G457,Sheet3!$C$82:$I$100,MATCH(E457,Sheet3!C$82:H$82,0),FALSE) * VLOOKUP(C457,Table8[],2,0)</f>
        <v>47600</v>
      </c>
      <c r="K457">
        <f>ROUND(J457*VLOOKUP(F457,Sheet3!$A$106:$C$111,2,FALSE),0)</f>
        <v>14280</v>
      </c>
      <c r="L457">
        <f t="shared" si="49"/>
        <v>33320</v>
      </c>
      <c r="M457">
        <f t="shared" si="50"/>
        <v>70</v>
      </c>
      <c r="N457" t="str">
        <f t="shared" si="53"/>
        <v>Yes</v>
      </c>
      <c r="O457">
        <f t="shared" si="54"/>
        <v>20</v>
      </c>
      <c r="P457" t="str">
        <f t="shared" si="55"/>
        <v>Summer Sale</v>
      </c>
      <c r="Q457" t="s">
        <v>124</v>
      </c>
    </row>
    <row r="458" spans="1:17" x14ac:dyDescent="0.3">
      <c r="A458">
        <v>457</v>
      </c>
      <c r="B458" t="s">
        <v>21</v>
      </c>
      <c r="C458" s="1">
        <v>45839</v>
      </c>
      <c r="D458" t="s">
        <v>27</v>
      </c>
      <c r="E458" t="s">
        <v>32</v>
      </c>
      <c r="F458" s="2" t="s">
        <v>35</v>
      </c>
      <c r="G458" t="str">
        <f t="shared" si="51"/>
        <v>Vanilla 28-UK</v>
      </c>
      <c r="H458">
        <f t="shared" si="52"/>
        <v>2008</v>
      </c>
      <c r="I458">
        <f>VLOOKUP(G458,Table4[[SKU-COUNTRY2]:[Price in USD]],2,FALSE)</f>
        <v>101.6</v>
      </c>
      <c r="J458">
        <f>VLOOKUP(G458,Sheet3!$C$82:$I$100,MATCH(E458,Sheet3!C$82:H$82,0),FALSE) * VLOOKUP(C458,Table8[],2,0)</f>
        <v>204000</v>
      </c>
      <c r="K458">
        <f>ROUND(J458*VLOOKUP(F458,Sheet3!$A$106:$C$111,2,FALSE),0)</f>
        <v>61200</v>
      </c>
      <c r="L458">
        <f t="shared" si="49"/>
        <v>142800</v>
      </c>
      <c r="M458">
        <f t="shared" si="50"/>
        <v>70</v>
      </c>
      <c r="N458" t="str">
        <f t="shared" si="53"/>
        <v>Yes</v>
      </c>
      <c r="O458">
        <f t="shared" si="54"/>
        <v>20</v>
      </c>
      <c r="P458" t="str">
        <f t="shared" si="55"/>
        <v>Summer Sale</v>
      </c>
      <c r="Q458" t="s">
        <v>124</v>
      </c>
    </row>
    <row r="459" spans="1:17" x14ac:dyDescent="0.3">
      <c r="A459">
        <v>458</v>
      </c>
      <c r="B459" t="s">
        <v>21</v>
      </c>
      <c r="C459" s="1">
        <v>45839</v>
      </c>
      <c r="D459" t="s">
        <v>27</v>
      </c>
      <c r="E459" t="s">
        <v>32</v>
      </c>
      <c r="F459" s="2" t="s">
        <v>36</v>
      </c>
      <c r="G459" t="str">
        <f t="shared" si="51"/>
        <v>Eden Juicy Apple 01-UK</v>
      </c>
      <c r="H459">
        <f t="shared" si="52"/>
        <v>1472</v>
      </c>
      <c r="I459">
        <f>VLOOKUP(G459,Table4[[SKU-COUNTRY2]:[Price in USD]],2,FALSE)</f>
        <v>101.6</v>
      </c>
      <c r="J459">
        <f>VLOOKUP(G459,Sheet3!$C$82:$I$100,MATCH(E459,Sheet3!C$82:H$82,0),FALSE) * VLOOKUP(C459,Table8[],2,0)</f>
        <v>149600</v>
      </c>
      <c r="K459">
        <f>ROUND(J459*VLOOKUP(F459,Sheet3!$A$106:$C$111,2,FALSE),0)</f>
        <v>46376</v>
      </c>
      <c r="L459">
        <f t="shared" si="49"/>
        <v>103224</v>
      </c>
      <c r="M459">
        <f t="shared" si="50"/>
        <v>69</v>
      </c>
      <c r="N459" t="str">
        <f t="shared" si="53"/>
        <v>Yes</v>
      </c>
      <c r="O459">
        <f t="shared" si="54"/>
        <v>20</v>
      </c>
      <c r="P459" t="str">
        <f t="shared" si="55"/>
        <v>Summer Sale</v>
      </c>
      <c r="Q459" t="s">
        <v>124</v>
      </c>
    </row>
    <row r="460" spans="1:17" x14ac:dyDescent="0.3">
      <c r="A460">
        <v>459</v>
      </c>
      <c r="B460" t="s">
        <v>21</v>
      </c>
      <c r="C460" s="1">
        <v>45839</v>
      </c>
      <c r="D460" t="s">
        <v>27</v>
      </c>
      <c r="E460" t="s">
        <v>32</v>
      </c>
      <c r="F460" s="2" t="s">
        <v>37</v>
      </c>
      <c r="G460" t="str">
        <f t="shared" si="51"/>
        <v>Oudgasm Tobacco Oud 04-UK</v>
      </c>
      <c r="H460">
        <f t="shared" si="52"/>
        <v>810</v>
      </c>
      <c r="I460">
        <f>VLOOKUP(G460,Table4[[SKU-COUNTRY2]:[Price in USD]],2,FALSE)</f>
        <v>151.13</v>
      </c>
      <c r="J460">
        <f>VLOOKUP(G460,Sheet3!$C$82:$I$100,MATCH(E460,Sheet3!C$82:H$82,0),FALSE) * VLOOKUP(C460,Table8[],2,0)</f>
        <v>122400</v>
      </c>
      <c r="K460">
        <f>ROUND(J460*VLOOKUP(F460,Sheet3!$A$106:$C$111,2,FALSE),0)</f>
        <v>42840</v>
      </c>
      <c r="L460">
        <f t="shared" si="49"/>
        <v>79560</v>
      </c>
      <c r="M460">
        <f t="shared" si="50"/>
        <v>65</v>
      </c>
      <c r="N460" t="str">
        <f t="shared" si="53"/>
        <v>Yes</v>
      </c>
      <c r="O460">
        <f t="shared" si="54"/>
        <v>20</v>
      </c>
      <c r="P460" t="str">
        <f t="shared" si="55"/>
        <v>Summer Sale</v>
      </c>
      <c r="Q460" t="s">
        <v>124</v>
      </c>
    </row>
    <row r="461" spans="1:17" x14ac:dyDescent="0.3">
      <c r="A461">
        <v>460</v>
      </c>
      <c r="B461" t="s">
        <v>21</v>
      </c>
      <c r="C461" s="1">
        <v>45839</v>
      </c>
      <c r="D461" t="s">
        <v>27</v>
      </c>
      <c r="E461" t="s">
        <v>32</v>
      </c>
      <c r="F461" s="2" t="s">
        <v>38</v>
      </c>
      <c r="G461" t="str">
        <f t="shared" si="51"/>
        <v>Yum Pistachio Gelato 33-UK</v>
      </c>
      <c r="H461">
        <f t="shared" si="52"/>
        <v>870</v>
      </c>
      <c r="I461">
        <f>VLOOKUP(G461,Table4[[SKU-COUNTRY2]:[Price in USD]],2,FALSE)</f>
        <v>101.6</v>
      </c>
      <c r="J461">
        <f>VLOOKUP(G461,Sheet3!$C$82:$I$100,MATCH(E461,Sheet3!C$82:H$82,0),FALSE) * VLOOKUP(C461,Table8[],2,0)</f>
        <v>88400</v>
      </c>
      <c r="K461">
        <f>ROUND(J461*VLOOKUP(F461,Sheet3!$A$106:$C$111,2,FALSE),0)</f>
        <v>27404</v>
      </c>
      <c r="L461">
        <f t="shared" si="49"/>
        <v>60996</v>
      </c>
      <c r="M461">
        <f t="shared" si="50"/>
        <v>69</v>
      </c>
      <c r="N461" t="str">
        <f t="shared" si="53"/>
        <v>Yes</v>
      </c>
      <c r="O461">
        <f t="shared" si="54"/>
        <v>20</v>
      </c>
      <c r="P461" t="str">
        <f t="shared" si="55"/>
        <v>Summer Sale</v>
      </c>
      <c r="Q461" t="s">
        <v>124</v>
      </c>
    </row>
    <row r="462" spans="1:17" x14ac:dyDescent="0.3">
      <c r="A462">
        <v>461</v>
      </c>
      <c r="B462" t="s">
        <v>21</v>
      </c>
      <c r="C462" s="1">
        <v>45839</v>
      </c>
      <c r="D462" t="s">
        <v>27</v>
      </c>
      <c r="E462" t="s">
        <v>32</v>
      </c>
      <c r="F462" s="2" t="s">
        <v>39</v>
      </c>
      <c r="G462" t="str">
        <f t="shared" si="51"/>
        <v>Freedom Musk Santal 34-UK</v>
      </c>
      <c r="H462">
        <f t="shared" si="52"/>
        <v>669</v>
      </c>
      <c r="I462">
        <f>VLOOKUP(G462,Table4[[SKU-COUNTRY2]:[Price in USD]],2,FALSE)</f>
        <v>101.6</v>
      </c>
      <c r="J462">
        <f>VLOOKUP(G462,Sheet3!$C$82:$I$100,MATCH(E462,Sheet3!C$82:H$82,0),FALSE) * VLOOKUP(C462,Table8[],2,0)</f>
        <v>68000</v>
      </c>
      <c r="K462">
        <f>ROUND(J462*VLOOKUP(F462,Sheet3!$A$106:$C$111,2,FALSE),0)</f>
        <v>21760</v>
      </c>
      <c r="L462">
        <f t="shared" si="49"/>
        <v>46240</v>
      </c>
      <c r="M462">
        <f t="shared" si="50"/>
        <v>68</v>
      </c>
      <c r="N462" t="str">
        <f t="shared" si="53"/>
        <v>Yes</v>
      </c>
      <c r="O462">
        <f t="shared" si="54"/>
        <v>20</v>
      </c>
      <c r="P462" t="str">
        <f t="shared" si="55"/>
        <v>Summer Sale</v>
      </c>
      <c r="Q462" t="s">
        <v>124</v>
      </c>
    </row>
    <row r="463" spans="1:17" x14ac:dyDescent="0.3">
      <c r="A463">
        <v>462</v>
      </c>
      <c r="B463" t="s">
        <v>21</v>
      </c>
      <c r="C463" s="1">
        <v>45839</v>
      </c>
      <c r="D463" t="s">
        <v>27</v>
      </c>
      <c r="E463" t="s">
        <v>32</v>
      </c>
      <c r="F463" s="2" t="s">
        <v>40</v>
      </c>
      <c r="G463" t="str">
        <f t="shared" si="51"/>
        <v>Musk 12-UK</v>
      </c>
      <c r="H463">
        <f t="shared" si="52"/>
        <v>469</v>
      </c>
      <c r="I463">
        <f>VLOOKUP(G463,Table4[[SKU-COUNTRY2]:[Price in USD]],2,FALSE)</f>
        <v>101.6</v>
      </c>
      <c r="J463">
        <f>VLOOKUP(G463,Sheet3!$C$82:$I$100,MATCH(E463,Sheet3!C$82:H$82,0),FALSE) * VLOOKUP(C463,Table8[],2,0)</f>
        <v>47600.000000000007</v>
      </c>
      <c r="K463">
        <f>ROUND(J463*VLOOKUP(F463,Sheet3!$A$106:$C$111,2,FALSE),0)</f>
        <v>14280</v>
      </c>
      <c r="L463">
        <f t="shared" si="49"/>
        <v>33320.000000000007</v>
      </c>
      <c r="M463">
        <f t="shared" si="50"/>
        <v>70</v>
      </c>
      <c r="N463" t="str">
        <f t="shared" si="53"/>
        <v>Yes</v>
      </c>
      <c r="O463">
        <f t="shared" si="54"/>
        <v>20</v>
      </c>
      <c r="P463" t="str">
        <f t="shared" si="55"/>
        <v>Summer Sale</v>
      </c>
      <c r="Q463" t="s">
        <v>124</v>
      </c>
    </row>
    <row r="464" spans="1:17" x14ac:dyDescent="0.3">
      <c r="A464">
        <v>463</v>
      </c>
      <c r="B464" t="s">
        <v>21</v>
      </c>
      <c r="C464" s="1">
        <v>45839</v>
      </c>
      <c r="D464" t="s">
        <v>27</v>
      </c>
      <c r="E464" t="s">
        <v>31</v>
      </c>
      <c r="F464" s="2" t="s">
        <v>35</v>
      </c>
      <c r="G464" t="str">
        <f t="shared" si="51"/>
        <v>Vanilla 28-UK</v>
      </c>
      <c r="H464">
        <f t="shared" si="52"/>
        <v>1004</v>
      </c>
      <c r="I464">
        <f>VLOOKUP(G464,Table4[[SKU-COUNTRY2]:[Price in USD]],2,FALSE)</f>
        <v>101.6</v>
      </c>
      <c r="J464">
        <f>VLOOKUP(G464,Sheet3!$C$82:$I$100,MATCH(E464,Sheet3!C$82:H$82,0),FALSE) * VLOOKUP(C464,Table8[],2,0)</f>
        <v>102000</v>
      </c>
      <c r="K464">
        <f>ROUND(J464*VLOOKUP(F464,Sheet3!$A$106:$C$111,2,FALSE),0)</f>
        <v>30600</v>
      </c>
      <c r="L464">
        <f t="shared" si="49"/>
        <v>71400</v>
      </c>
      <c r="M464">
        <f t="shared" si="50"/>
        <v>70</v>
      </c>
      <c r="N464" t="str">
        <f t="shared" si="53"/>
        <v>Yes</v>
      </c>
      <c r="O464">
        <f t="shared" si="54"/>
        <v>20</v>
      </c>
      <c r="P464" t="str">
        <f t="shared" si="55"/>
        <v>Summer Sale</v>
      </c>
      <c r="Q464" t="s">
        <v>124</v>
      </c>
    </row>
    <row r="465" spans="1:17" x14ac:dyDescent="0.3">
      <c r="A465">
        <v>464</v>
      </c>
      <c r="B465" t="s">
        <v>21</v>
      </c>
      <c r="C465" s="1">
        <v>45839</v>
      </c>
      <c r="D465" t="s">
        <v>27</v>
      </c>
      <c r="E465" t="s">
        <v>31</v>
      </c>
      <c r="F465" s="2" t="s">
        <v>36</v>
      </c>
      <c r="G465" t="str">
        <f t="shared" si="51"/>
        <v>Eden Juicy Apple 01-UK</v>
      </c>
      <c r="H465">
        <f t="shared" si="52"/>
        <v>736</v>
      </c>
      <c r="I465">
        <f>VLOOKUP(G465,Table4[[SKU-COUNTRY2]:[Price in USD]],2,FALSE)</f>
        <v>101.6</v>
      </c>
      <c r="J465">
        <f>VLOOKUP(G465,Sheet3!$C$82:$I$100,MATCH(E465,Sheet3!C$82:H$82,0),FALSE) * VLOOKUP(C465,Table8[],2,0)</f>
        <v>74800</v>
      </c>
      <c r="K465">
        <f>ROUND(J465*VLOOKUP(F465,Sheet3!$A$106:$C$111,2,FALSE),0)</f>
        <v>23188</v>
      </c>
      <c r="L465">
        <f t="shared" si="49"/>
        <v>51612</v>
      </c>
      <c r="M465">
        <f t="shared" si="50"/>
        <v>69</v>
      </c>
      <c r="N465" t="str">
        <f t="shared" si="53"/>
        <v>Yes</v>
      </c>
      <c r="O465">
        <f t="shared" si="54"/>
        <v>20</v>
      </c>
      <c r="P465" t="str">
        <f t="shared" si="55"/>
        <v>Summer Sale</v>
      </c>
      <c r="Q465" t="s">
        <v>124</v>
      </c>
    </row>
    <row r="466" spans="1:17" x14ac:dyDescent="0.3">
      <c r="A466">
        <v>465</v>
      </c>
      <c r="B466" t="s">
        <v>21</v>
      </c>
      <c r="C466" s="1">
        <v>45839</v>
      </c>
      <c r="D466" t="s">
        <v>27</v>
      </c>
      <c r="E466" t="s">
        <v>31</v>
      </c>
      <c r="F466" s="2" t="s">
        <v>37</v>
      </c>
      <c r="G466" t="str">
        <f t="shared" si="51"/>
        <v>Oudgasm Tobacco Oud 04-UK</v>
      </c>
      <c r="H466">
        <f t="shared" si="52"/>
        <v>405</v>
      </c>
      <c r="I466">
        <f>VLOOKUP(G466,Table4[[SKU-COUNTRY2]:[Price in USD]],2,FALSE)</f>
        <v>151.13</v>
      </c>
      <c r="J466">
        <f>VLOOKUP(G466,Sheet3!$C$82:$I$100,MATCH(E466,Sheet3!C$82:H$82,0),FALSE) * VLOOKUP(C466,Table8[],2,0)</f>
        <v>61200</v>
      </c>
      <c r="K466">
        <f>ROUND(J466*VLOOKUP(F466,Sheet3!$A$106:$C$111,2,FALSE),0)</f>
        <v>21420</v>
      </c>
      <c r="L466">
        <f t="shared" si="49"/>
        <v>39780</v>
      </c>
      <c r="M466">
        <f t="shared" si="50"/>
        <v>65</v>
      </c>
      <c r="N466" t="str">
        <f t="shared" si="53"/>
        <v>Yes</v>
      </c>
      <c r="O466">
        <f t="shared" si="54"/>
        <v>20</v>
      </c>
      <c r="P466" t="str">
        <f t="shared" si="55"/>
        <v>Summer Sale</v>
      </c>
      <c r="Q466" t="s">
        <v>124</v>
      </c>
    </row>
    <row r="467" spans="1:17" x14ac:dyDescent="0.3">
      <c r="A467">
        <v>466</v>
      </c>
      <c r="B467" t="s">
        <v>21</v>
      </c>
      <c r="C467" s="1">
        <v>45839</v>
      </c>
      <c r="D467" t="s">
        <v>27</v>
      </c>
      <c r="E467" t="s">
        <v>31</v>
      </c>
      <c r="F467" s="2" t="s">
        <v>38</v>
      </c>
      <c r="G467" t="str">
        <f t="shared" si="51"/>
        <v>Yum Pistachio Gelato 33-UK</v>
      </c>
      <c r="H467">
        <f t="shared" si="52"/>
        <v>435</v>
      </c>
      <c r="I467">
        <f>VLOOKUP(G467,Table4[[SKU-COUNTRY2]:[Price in USD]],2,FALSE)</f>
        <v>101.6</v>
      </c>
      <c r="J467">
        <f>VLOOKUP(G467,Sheet3!$C$82:$I$100,MATCH(E467,Sheet3!C$82:H$82,0),FALSE) * VLOOKUP(C467,Table8[],2,0)</f>
        <v>44200</v>
      </c>
      <c r="K467">
        <f>ROUND(J467*VLOOKUP(F467,Sheet3!$A$106:$C$111,2,FALSE),0)</f>
        <v>13702</v>
      </c>
      <c r="L467">
        <f t="shared" si="49"/>
        <v>30498</v>
      </c>
      <c r="M467">
        <f t="shared" si="50"/>
        <v>69</v>
      </c>
      <c r="N467" t="str">
        <f t="shared" si="53"/>
        <v>Yes</v>
      </c>
      <c r="O467">
        <f t="shared" si="54"/>
        <v>20</v>
      </c>
      <c r="P467" t="str">
        <f t="shared" si="55"/>
        <v>Summer Sale</v>
      </c>
      <c r="Q467" t="s">
        <v>124</v>
      </c>
    </row>
    <row r="468" spans="1:17" x14ac:dyDescent="0.3">
      <c r="A468">
        <v>467</v>
      </c>
      <c r="B468" t="s">
        <v>21</v>
      </c>
      <c r="C468" s="1">
        <v>45839</v>
      </c>
      <c r="D468" t="s">
        <v>27</v>
      </c>
      <c r="E468" t="s">
        <v>31</v>
      </c>
      <c r="F468" s="2" t="s">
        <v>39</v>
      </c>
      <c r="G468" t="str">
        <f t="shared" si="51"/>
        <v>Freedom Musk Santal 34-UK</v>
      </c>
      <c r="H468">
        <f t="shared" si="52"/>
        <v>335</v>
      </c>
      <c r="I468">
        <f>VLOOKUP(G468,Table4[[SKU-COUNTRY2]:[Price in USD]],2,FALSE)</f>
        <v>101.6</v>
      </c>
      <c r="J468">
        <f>VLOOKUP(G468,Sheet3!$C$82:$I$100,MATCH(E468,Sheet3!C$82:H$82,0),FALSE) * VLOOKUP(C468,Table8[],2,0)</f>
        <v>34000</v>
      </c>
      <c r="K468">
        <f>ROUND(J468*VLOOKUP(F468,Sheet3!$A$106:$C$111,2,FALSE),0)</f>
        <v>10880</v>
      </c>
      <c r="L468">
        <f t="shared" si="49"/>
        <v>23120</v>
      </c>
      <c r="M468">
        <f t="shared" si="50"/>
        <v>68</v>
      </c>
      <c r="N468" t="str">
        <f t="shared" si="53"/>
        <v>Yes</v>
      </c>
      <c r="O468">
        <f t="shared" si="54"/>
        <v>20</v>
      </c>
      <c r="P468" t="str">
        <f t="shared" si="55"/>
        <v>Summer Sale</v>
      </c>
      <c r="Q468" t="s">
        <v>124</v>
      </c>
    </row>
    <row r="469" spans="1:17" x14ac:dyDescent="0.3">
      <c r="A469">
        <v>468</v>
      </c>
      <c r="B469" t="s">
        <v>21</v>
      </c>
      <c r="C469" s="1">
        <v>45839</v>
      </c>
      <c r="D469" t="s">
        <v>27</v>
      </c>
      <c r="E469" t="s">
        <v>31</v>
      </c>
      <c r="F469" s="2" t="s">
        <v>40</v>
      </c>
      <c r="G469" t="str">
        <f t="shared" si="51"/>
        <v>Musk 12-UK</v>
      </c>
      <c r="H469">
        <f t="shared" si="52"/>
        <v>234</v>
      </c>
      <c r="I469">
        <f>VLOOKUP(G469,Table4[[SKU-COUNTRY2]:[Price in USD]],2,FALSE)</f>
        <v>101.6</v>
      </c>
      <c r="J469">
        <f>VLOOKUP(G469,Sheet3!$C$82:$I$100,MATCH(E469,Sheet3!C$82:H$82,0),FALSE) * VLOOKUP(C469,Table8[],2,0)</f>
        <v>23800.000000000004</v>
      </c>
      <c r="K469">
        <f>ROUND(J469*VLOOKUP(F469,Sheet3!$A$106:$C$111,2,FALSE),0)</f>
        <v>7140</v>
      </c>
      <c r="L469">
        <f t="shared" si="49"/>
        <v>16660.000000000004</v>
      </c>
      <c r="M469">
        <f t="shared" si="50"/>
        <v>70</v>
      </c>
      <c r="N469" t="str">
        <f t="shared" si="53"/>
        <v>Yes</v>
      </c>
      <c r="O469">
        <f t="shared" si="54"/>
        <v>20</v>
      </c>
      <c r="P469" t="str">
        <f t="shared" si="55"/>
        <v>Summer Sale</v>
      </c>
      <c r="Q469" t="s">
        <v>124</v>
      </c>
    </row>
    <row r="470" spans="1:17" x14ac:dyDescent="0.3">
      <c r="A470">
        <v>469</v>
      </c>
      <c r="B470" t="s">
        <v>21</v>
      </c>
      <c r="C470" s="1">
        <v>45839</v>
      </c>
      <c r="D470" t="s">
        <v>27</v>
      </c>
      <c r="E470" t="s">
        <v>33</v>
      </c>
      <c r="F470" s="2" t="s">
        <v>35</v>
      </c>
      <c r="G470" t="str">
        <f t="shared" si="51"/>
        <v>Vanilla 28-UK</v>
      </c>
      <c r="H470">
        <f t="shared" si="52"/>
        <v>753</v>
      </c>
      <c r="I470">
        <f>VLOOKUP(G470,Table4[[SKU-COUNTRY2]:[Price in USD]],2,FALSE)</f>
        <v>101.6</v>
      </c>
      <c r="J470">
        <f>VLOOKUP(G470,Sheet3!$C$82:$I$100,MATCH(E470,Sheet3!C$82:H$82,0),FALSE) * VLOOKUP(C470,Table8[],2,0)</f>
        <v>76500</v>
      </c>
      <c r="K470">
        <f>ROUND(J470*VLOOKUP(F470,Sheet3!$A$106:$C$111,2,FALSE),0)</f>
        <v>22950</v>
      </c>
      <c r="L470">
        <f t="shared" si="49"/>
        <v>53550</v>
      </c>
      <c r="M470">
        <f t="shared" si="50"/>
        <v>70</v>
      </c>
      <c r="N470" t="str">
        <f t="shared" si="53"/>
        <v>Yes</v>
      </c>
      <c r="O470">
        <f t="shared" si="54"/>
        <v>20</v>
      </c>
      <c r="P470" t="str">
        <f t="shared" si="55"/>
        <v>Summer Sale</v>
      </c>
      <c r="Q470" t="s">
        <v>124</v>
      </c>
    </row>
    <row r="471" spans="1:17" x14ac:dyDescent="0.3">
      <c r="A471">
        <v>470</v>
      </c>
      <c r="B471" t="s">
        <v>21</v>
      </c>
      <c r="C471" s="1">
        <v>45839</v>
      </c>
      <c r="D471" t="s">
        <v>27</v>
      </c>
      <c r="E471" t="s">
        <v>33</v>
      </c>
      <c r="F471" s="2" t="s">
        <v>36</v>
      </c>
      <c r="G471" t="str">
        <f t="shared" si="51"/>
        <v>Eden Juicy Apple 01-UK</v>
      </c>
      <c r="H471">
        <f t="shared" si="52"/>
        <v>552</v>
      </c>
      <c r="I471">
        <f>VLOOKUP(G471,Table4[[SKU-COUNTRY2]:[Price in USD]],2,FALSE)</f>
        <v>101.6</v>
      </c>
      <c r="J471">
        <f>VLOOKUP(G471,Sheet3!$C$82:$I$100,MATCH(E471,Sheet3!C$82:H$82,0),FALSE) * VLOOKUP(C471,Table8[],2,0)</f>
        <v>56100</v>
      </c>
      <c r="K471">
        <f>ROUND(J471*VLOOKUP(F471,Sheet3!$A$106:$C$111,2,FALSE),0)</f>
        <v>17391</v>
      </c>
      <c r="L471">
        <f t="shared" si="49"/>
        <v>38709</v>
      </c>
      <c r="M471">
        <f t="shared" si="50"/>
        <v>69</v>
      </c>
      <c r="N471" t="str">
        <f t="shared" si="53"/>
        <v>Yes</v>
      </c>
      <c r="O471">
        <f t="shared" si="54"/>
        <v>20</v>
      </c>
      <c r="P471" t="str">
        <f t="shared" si="55"/>
        <v>Summer Sale</v>
      </c>
      <c r="Q471" t="s">
        <v>124</v>
      </c>
    </row>
    <row r="472" spans="1:17" x14ac:dyDescent="0.3">
      <c r="A472">
        <v>471</v>
      </c>
      <c r="B472" t="s">
        <v>21</v>
      </c>
      <c r="C472" s="1">
        <v>45839</v>
      </c>
      <c r="D472" t="s">
        <v>27</v>
      </c>
      <c r="E472" t="s">
        <v>33</v>
      </c>
      <c r="F472" s="2" t="s">
        <v>37</v>
      </c>
      <c r="G472" t="str">
        <f t="shared" si="51"/>
        <v>Oudgasm Tobacco Oud 04-UK</v>
      </c>
      <c r="H472">
        <f t="shared" si="52"/>
        <v>304</v>
      </c>
      <c r="I472">
        <f>VLOOKUP(G472,Table4[[SKU-COUNTRY2]:[Price in USD]],2,FALSE)</f>
        <v>151.13</v>
      </c>
      <c r="J472">
        <f>VLOOKUP(G472,Sheet3!$C$82:$I$100,MATCH(E472,Sheet3!C$82:H$82,0),FALSE) * VLOOKUP(C472,Table8[],2,0)</f>
        <v>45900</v>
      </c>
      <c r="K472">
        <f>ROUND(J472*VLOOKUP(F472,Sheet3!$A$106:$C$111,2,FALSE),0)</f>
        <v>16065</v>
      </c>
      <c r="L472">
        <f t="shared" si="49"/>
        <v>29835</v>
      </c>
      <c r="M472">
        <f t="shared" si="50"/>
        <v>65</v>
      </c>
      <c r="N472" t="str">
        <f t="shared" si="53"/>
        <v>Yes</v>
      </c>
      <c r="O472">
        <f t="shared" si="54"/>
        <v>20</v>
      </c>
      <c r="P472" t="str">
        <f t="shared" si="55"/>
        <v>Summer Sale</v>
      </c>
      <c r="Q472" t="s">
        <v>124</v>
      </c>
    </row>
    <row r="473" spans="1:17" x14ac:dyDescent="0.3">
      <c r="A473">
        <v>472</v>
      </c>
      <c r="B473" t="s">
        <v>21</v>
      </c>
      <c r="C473" s="1">
        <v>45839</v>
      </c>
      <c r="D473" t="s">
        <v>27</v>
      </c>
      <c r="E473" t="s">
        <v>33</v>
      </c>
      <c r="F473" s="2" t="s">
        <v>38</v>
      </c>
      <c r="G473" t="str">
        <f t="shared" si="51"/>
        <v>Yum Pistachio Gelato 33-UK</v>
      </c>
      <c r="H473">
        <f t="shared" si="52"/>
        <v>326</v>
      </c>
      <c r="I473">
        <f>VLOOKUP(G473,Table4[[SKU-COUNTRY2]:[Price in USD]],2,FALSE)</f>
        <v>101.6</v>
      </c>
      <c r="J473">
        <f>VLOOKUP(G473,Sheet3!$C$82:$I$100,MATCH(E473,Sheet3!C$82:H$82,0),FALSE) * VLOOKUP(C473,Table8[],2,0)</f>
        <v>33150</v>
      </c>
      <c r="K473">
        <f>ROUND(J473*VLOOKUP(F473,Sheet3!$A$106:$C$111,2,FALSE),0)</f>
        <v>10277</v>
      </c>
      <c r="L473">
        <f t="shared" si="49"/>
        <v>22873</v>
      </c>
      <c r="M473">
        <f t="shared" si="50"/>
        <v>69</v>
      </c>
      <c r="N473" t="str">
        <f t="shared" si="53"/>
        <v>Yes</v>
      </c>
      <c r="O473">
        <f t="shared" si="54"/>
        <v>20</v>
      </c>
      <c r="P473" t="str">
        <f t="shared" si="55"/>
        <v>Summer Sale</v>
      </c>
      <c r="Q473" t="s">
        <v>124</v>
      </c>
    </row>
    <row r="474" spans="1:17" x14ac:dyDescent="0.3">
      <c r="A474">
        <v>473</v>
      </c>
      <c r="B474" t="s">
        <v>21</v>
      </c>
      <c r="C474" s="1">
        <v>45839</v>
      </c>
      <c r="D474" t="s">
        <v>27</v>
      </c>
      <c r="E474" t="s">
        <v>33</v>
      </c>
      <c r="F474" s="2" t="s">
        <v>39</v>
      </c>
      <c r="G474" t="str">
        <f t="shared" si="51"/>
        <v>Freedom Musk Santal 34-UK</v>
      </c>
      <c r="H474">
        <f t="shared" si="52"/>
        <v>251</v>
      </c>
      <c r="I474">
        <f>VLOOKUP(G474,Table4[[SKU-COUNTRY2]:[Price in USD]],2,FALSE)</f>
        <v>101.6</v>
      </c>
      <c r="J474">
        <f>VLOOKUP(G474,Sheet3!$C$82:$I$100,MATCH(E474,Sheet3!C$82:H$82,0),FALSE) * VLOOKUP(C474,Table8[],2,0)</f>
        <v>25500</v>
      </c>
      <c r="K474">
        <f>ROUND(J474*VLOOKUP(F474,Sheet3!$A$106:$C$111,2,FALSE),0)</f>
        <v>8160</v>
      </c>
      <c r="L474">
        <f t="shared" si="49"/>
        <v>17340</v>
      </c>
      <c r="M474">
        <f t="shared" si="50"/>
        <v>68</v>
      </c>
      <c r="N474" t="str">
        <f t="shared" si="53"/>
        <v>Yes</v>
      </c>
      <c r="O474">
        <f t="shared" si="54"/>
        <v>20</v>
      </c>
      <c r="P474" t="str">
        <f t="shared" si="55"/>
        <v>Summer Sale</v>
      </c>
      <c r="Q474" t="s">
        <v>124</v>
      </c>
    </row>
    <row r="475" spans="1:17" x14ac:dyDescent="0.3">
      <c r="A475">
        <v>474</v>
      </c>
      <c r="B475" t="s">
        <v>21</v>
      </c>
      <c r="C475" s="1">
        <v>45839</v>
      </c>
      <c r="D475" t="s">
        <v>27</v>
      </c>
      <c r="E475" t="s">
        <v>33</v>
      </c>
      <c r="F475" s="2" t="s">
        <v>40</v>
      </c>
      <c r="G475" t="str">
        <f t="shared" si="51"/>
        <v>Musk 12-UK</v>
      </c>
      <c r="H475">
        <f t="shared" si="52"/>
        <v>176</v>
      </c>
      <c r="I475">
        <f>VLOOKUP(G475,Table4[[SKU-COUNTRY2]:[Price in USD]],2,FALSE)</f>
        <v>101.6</v>
      </c>
      <c r="J475">
        <f>VLOOKUP(G475,Sheet3!$C$82:$I$100,MATCH(E475,Sheet3!C$82:H$82,0),FALSE) * VLOOKUP(C475,Table8[],2,0)</f>
        <v>17850.000000000004</v>
      </c>
      <c r="K475">
        <f>ROUND(J475*VLOOKUP(F475,Sheet3!$A$106:$C$111,2,FALSE),0)</f>
        <v>5355</v>
      </c>
      <c r="L475">
        <f t="shared" si="49"/>
        <v>12495.000000000004</v>
      </c>
      <c r="M475">
        <f t="shared" si="50"/>
        <v>70</v>
      </c>
      <c r="N475" t="str">
        <f t="shared" si="53"/>
        <v>Yes</v>
      </c>
      <c r="O475">
        <f t="shared" si="54"/>
        <v>20</v>
      </c>
      <c r="P475" t="str">
        <f t="shared" si="55"/>
        <v>Summer Sale</v>
      </c>
      <c r="Q475" t="s">
        <v>124</v>
      </c>
    </row>
    <row r="476" spans="1:17" x14ac:dyDescent="0.3">
      <c r="A476">
        <v>475</v>
      </c>
      <c r="B476" t="s">
        <v>21</v>
      </c>
      <c r="C476" s="1">
        <v>45839</v>
      </c>
      <c r="D476" t="s">
        <v>27</v>
      </c>
      <c r="E476" t="s">
        <v>34</v>
      </c>
      <c r="F476" s="2" t="s">
        <v>35</v>
      </c>
      <c r="G476" t="str">
        <f t="shared" si="51"/>
        <v>Vanilla 28-UK</v>
      </c>
      <c r="H476">
        <f t="shared" si="52"/>
        <v>1255</v>
      </c>
      <c r="I476">
        <f>VLOOKUP(G476,Table4[[SKU-COUNTRY2]:[Price in USD]],2,FALSE)</f>
        <v>101.6</v>
      </c>
      <c r="J476">
        <f>VLOOKUP(G476,Sheet3!$C$82:$I$100,MATCH(E476,Sheet3!C$82:H$82,0),FALSE) * VLOOKUP(C476,Table8[],2,0)</f>
        <v>127500</v>
      </c>
      <c r="K476">
        <f>ROUND(J476*VLOOKUP(F476,Sheet3!$A$106:$C$111,2,FALSE),0)</f>
        <v>38250</v>
      </c>
      <c r="L476">
        <f t="shared" si="49"/>
        <v>89250</v>
      </c>
      <c r="M476">
        <f t="shared" si="50"/>
        <v>70</v>
      </c>
      <c r="N476" t="str">
        <f t="shared" si="53"/>
        <v>Yes</v>
      </c>
      <c r="O476">
        <f t="shared" si="54"/>
        <v>20</v>
      </c>
      <c r="P476" t="str">
        <f t="shared" si="55"/>
        <v>Summer Sale</v>
      </c>
      <c r="Q476" t="s">
        <v>124</v>
      </c>
    </row>
    <row r="477" spans="1:17" x14ac:dyDescent="0.3">
      <c r="A477">
        <v>476</v>
      </c>
      <c r="B477" t="s">
        <v>21</v>
      </c>
      <c r="C477" s="1">
        <v>45839</v>
      </c>
      <c r="D477" t="s">
        <v>27</v>
      </c>
      <c r="E477" t="s">
        <v>34</v>
      </c>
      <c r="F477" s="2" t="s">
        <v>36</v>
      </c>
      <c r="G477" t="str">
        <f t="shared" si="51"/>
        <v>Eden Juicy Apple 01-UK</v>
      </c>
      <c r="H477">
        <f t="shared" si="52"/>
        <v>920</v>
      </c>
      <c r="I477">
        <f>VLOOKUP(G477,Table4[[SKU-COUNTRY2]:[Price in USD]],2,FALSE)</f>
        <v>101.6</v>
      </c>
      <c r="J477">
        <f>VLOOKUP(G477,Sheet3!$C$82:$I$100,MATCH(E477,Sheet3!C$82:H$82,0),FALSE) * VLOOKUP(C477,Table8[],2,0)</f>
        <v>93500</v>
      </c>
      <c r="K477">
        <f>ROUND(J477*VLOOKUP(F477,Sheet3!$A$106:$C$111,2,FALSE),0)</f>
        <v>28985</v>
      </c>
      <c r="L477">
        <f t="shared" si="49"/>
        <v>64515</v>
      </c>
      <c r="M477">
        <f t="shared" si="50"/>
        <v>69</v>
      </c>
      <c r="N477" t="str">
        <f t="shared" si="53"/>
        <v>Yes</v>
      </c>
      <c r="O477">
        <f t="shared" si="54"/>
        <v>20</v>
      </c>
      <c r="P477" t="str">
        <f t="shared" si="55"/>
        <v>Summer Sale</v>
      </c>
      <c r="Q477" t="s">
        <v>124</v>
      </c>
    </row>
    <row r="478" spans="1:17" x14ac:dyDescent="0.3">
      <c r="A478">
        <v>477</v>
      </c>
      <c r="B478" t="s">
        <v>21</v>
      </c>
      <c r="C478" s="1">
        <v>45839</v>
      </c>
      <c r="D478" t="s">
        <v>27</v>
      </c>
      <c r="E478" t="s">
        <v>34</v>
      </c>
      <c r="F478" s="2" t="s">
        <v>37</v>
      </c>
      <c r="G478" t="str">
        <f t="shared" si="51"/>
        <v>Oudgasm Tobacco Oud 04-UK</v>
      </c>
      <c r="H478">
        <f t="shared" si="52"/>
        <v>506</v>
      </c>
      <c r="I478">
        <f>VLOOKUP(G478,Table4[[SKU-COUNTRY2]:[Price in USD]],2,FALSE)</f>
        <v>151.13</v>
      </c>
      <c r="J478">
        <f>VLOOKUP(G478,Sheet3!$C$82:$I$100,MATCH(E478,Sheet3!C$82:H$82,0),FALSE) * VLOOKUP(C478,Table8[],2,0)</f>
        <v>76500</v>
      </c>
      <c r="K478">
        <f>ROUND(J478*VLOOKUP(F478,Sheet3!$A$106:$C$111,2,FALSE),0)</f>
        <v>26775</v>
      </c>
      <c r="L478">
        <f t="shared" si="49"/>
        <v>49725</v>
      </c>
      <c r="M478">
        <f t="shared" si="50"/>
        <v>65</v>
      </c>
      <c r="N478" t="str">
        <f t="shared" si="53"/>
        <v>Yes</v>
      </c>
      <c r="O478">
        <f t="shared" si="54"/>
        <v>20</v>
      </c>
      <c r="P478" t="str">
        <f t="shared" si="55"/>
        <v>Summer Sale</v>
      </c>
      <c r="Q478" t="s">
        <v>124</v>
      </c>
    </row>
    <row r="479" spans="1:17" x14ac:dyDescent="0.3">
      <c r="A479">
        <v>478</v>
      </c>
      <c r="B479" t="s">
        <v>21</v>
      </c>
      <c r="C479" s="1">
        <v>45839</v>
      </c>
      <c r="D479" t="s">
        <v>27</v>
      </c>
      <c r="E479" t="s">
        <v>34</v>
      </c>
      <c r="F479" s="2" t="s">
        <v>38</v>
      </c>
      <c r="G479" t="str">
        <f t="shared" si="51"/>
        <v>Yum Pistachio Gelato 33-UK</v>
      </c>
      <c r="H479">
        <f t="shared" si="52"/>
        <v>544</v>
      </c>
      <c r="I479">
        <f>VLOOKUP(G479,Table4[[SKU-COUNTRY2]:[Price in USD]],2,FALSE)</f>
        <v>101.6</v>
      </c>
      <c r="J479">
        <f>VLOOKUP(G479,Sheet3!$C$82:$I$100,MATCH(E479,Sheet3!C$82:H$82,0),FALSE) * VLOOKUP(C479,Table8[],2,0)</f>
        <v>55250</v>
      </c>
      <c r="K479">
        <f>ROUND(J479*VLOOKUP(F479,Sheet3!$A$106:$C$111,2,FALSE),0)</f>
        <v>17128</v>
      </c>
      <c r="L479">
        <f t="shared" si="49"/>
        <v>38122</v>
      </c>
      <c r="M479">
        <f t="shared" si="50"/>
        <v>69</v>
      </c>
      <c r="N479" t="str">
        <f t="shared" si="53"/>
        <v>Yes</v>
      </c>
      <c r="O479">
        <f t="shared" si="54"/>
        <v>20</v>
      </c>
      <c r="P479" t="str">
        <f t="shared" si="55"/>
        <v>Summer Sale</v>
      </c>
      <c r="Q479" t="s">
        <v>124</v>
      </c>
    </row>
    <row r="480" spans="1:17" x14ac:dyDescent="0.3">
      <c r="A480">
        <v>479</v>
      </c>
      <c r="B480" t="s">
        <v>21</v>
      </c>
      <c r="C480" s="1">
        <v>45839</v>
      </c>
      <c r="D480" t="s">
        <v>27</v>
      </c>
      <c r="E480" t="s">
        <v>34</v>
      </c>
      <c r="F480" s="2" t="s">
        <v>39</v>
      </c>
      <c r="G480" t="str">
        <f t="shared" si="51"/>
        <v>Freedom Musk Santal 34-UK</v>
      </c>
      <c r="H480">
        <f t="shared" si="52"/>
        <v>418</v>
      </c>
      <c r="I480">
        <f>VLOOKUP(G480,Table4[[SKU-COUNTRY2]:[Price in USD]],2,FALSE)</f>
        <v>101.6</v>
      </c>
      <c r="J480">
        <f>VLOOKUP(G480,Sheet3!$C$82:$I$100,MATCH(E480,Sheet3!C$82:H$82,0),FALSE) * VLOOKUP(C480,Table8[],2,0)</f>
        <v>42500</v>
      </c>
      <c r="K480">
        <f>ROUND(J480*VLOOKUP(F480,Sheet3!$A$106:$C$111,2,FALSE),0)</f>
        <v>13600</v>
      </c>
      <c r="L480">
        <f t="shared" si="49"/>
        <v>28900</v>
      </c>
      <c r="M480">
        <f t="shared" si="50"/>
        <v>68</v>
      </c>
      <c r="N480" t="str">
        <f t="shared" si="53"/>
        <v>Yes</v>
      </c>
      <c r="O480">
        <f t="shared" si="54"/>
        <v>20</v>
      </c>
      <c r="P480" t="str">
        <f t="shared" si="55"/>
        <v>Summer Sale</v>
      </c>
      <c r="Q480" t="s">
        <v>124</v>
      </c>
    </row>
    <row r="481" spans="1:17" x14ac:dyDescent="0.3">
      <c r="A481">
        <v>480</v>
      </c>
      <c r="B481" t="s">
        <v>21</v>
      </c>
      <c r="C481" s="1">
        <v>45839</v>
      </c>
      <c r="D481" t="s">
        <v>27</v>
      </c>
      <c r="E481" t="s">
        <v>34</v>
      </c>
      <c r="F481" s="2" t="s">
        <v>40</v>
      </c>
      <c r="G481" t="str">
        <f t="shared" si="51"/>
        <v>Musk 12-UK</v>
      </c>
      <c r="H481">
        <f t="shared" si="52"/>
        <v>293</v>
      </c>
      <c r="I481">
        <f>VLOOKUP(G481,Table4[[SKU-COUNTRY2]:[Price in USD]],2,FALSE)</f>
        <v>101.6</v>
      </c>
      <c r="J481">
        <f>VLOOKUP(G481,Sheet3!$C$82:$I$100,MATCH(E481,Sheet3!C$82:H$82,0),FALSE) * VLOOKUP(C481,Table8[],2,0)</f>
        <v>29750</v>
      </c>
      <c r="K481">
        <f>ROUND(J481*VLOOKUP(F481,Sheet3!$A$106:$C$111,2,FALSE),0)</f>
        <v>8925</v>
      </c>
      <c r="L481">
        <f t="shared" si="49"/>
        <v>20825</v>
      </c>
      <c r="M481">
        <f t="shared" si="50"/>
        <v>70</v>
      </c>
      <c r="N481" t="str">
        <f t="shared" si="53"/>
        <v>Yes</v>
      </c>
      <c r="O481">
        <f t="shared" si="54"/>
        <v>20</v>
      </c>
      <c r="P481" t="str">
        <f t="shared" si="55"/>
        <v>Summer Sale</v>
      </c>
      <c r="Q481" t="s">
        <v>124</v>
      </c>
    </row>
    <row r="482" spans="1:17" x14ac:dyDescent="0.3">
      <c r="A482">
        <v>481</v>
      </c>
      <c r="B482" t="s">
        <v>21</v>
      </c>
      <c r="C482" s="1">
        <v>45839</v>
      </c>
      <c r="D482" t="s">
        <v>29</v>
      </c>
      <c r="E482" t="s">
        <v>32</v>
      </c>
      <c r="F482" s="2" t="s">
        <v>35</v>
      </c>
      <c r="G482" t="str">
        <f t="shared" si="51"/>
        <v>Vanilla 28-UAE</v>
      </c>
      <c r="H482">
        <f t="shared" si="52"/>
        <v>1687</v>
      </c>
      <c r="I482">
        <f>VLOOKUP(G482,Table4[[SKU-COUNTRY2]:[Price in USD]],2,FALSE)</f>
        <v>113.4</v>
      </c>
      <c r="J482">
        <f>VLOOKUP(G482,Sheet3!$C$82:$I$100,MATCH(E482,Sheet3!C$82:H$82,0),FALSE) * VLOOKUP(C482,Table8[],2,0)</f>
        <v>191250</v>
      </c>
      <c r="K482">
        <f>ROUND(J482*VLOOKUP(F482,Sheet3!$A$106:$C$111,2,FALSE),0)</f>
        <v>57375</v>
      </c>
      <c r="L482">
        <f t="shared" si="49"/>
        <v>133875</v>
      </c>
      <c r="M482">
        <f t="shared" si="50"/>
        <v>70</v>
      </c>
      <c r="N482" t="str">
        <f t="shared" si="53"/>
        <v>No</v>
      </c>
      <c r="O482">
        <f t="shared" si="54"/>
        <v>0</v>
      </c>
      <c r="P482" t="str">
        <f t="shared" si="55"/>
        <v>None</v>
      </c>
      <c r="Q482" t="s">
        <v>124</v>
      </c>
    </row>
    <row r="483" spans="1:17" x14ac:dyDescent="0.3">
      <c r="A483">
        <v>482</v>
      </c>
      <c r="B483" t="s">
        <v>21</v>
      </c>
      <c r="C483" s="1">
        <v>45839</v>
      </c>
      <c r="D483" t="s">
        <v>29</v>
      </c>
      <c r="E483" t="s">
        <v>32</v>
      </c>
      <c r="F483" s="2" t="s">
        <v>36</v>
      </c>
      <c r="G483" t="str">
        <f t="shared" si="51"/>
        <v>Eden Juicy Apple 01-UAE</v>
      </c>
      <c r="H483">
        <f t="shared" si="52"/>
        <v>1265</v>
      </c>
      <c r="I483">
        <f>VLOOKUP(G483,Table4[[SKU-COUNTRY2]:[Price in USD]],2,FALSE)</f>
        <v>113.4</v>
      </c>
      <c r="J483">
        <f>VLOOKUP(G483,Sheet3!$C$82:$I$100,MATCH(E483,Sheet3!C$82:H$82,0),FALSE) * VLOOKUP(C483,Table8[],2,0)</f>
        <v>143437.5</v>
      </c>
      <c r="K483">
        <f>ROUND(J483*VLOOKUP(F483,Sheet3!$A$106:$C$111,2,FALSE),0)</f>
        <v>44466</v>
      </c>
      <c r="L483">
        <f t="shared" si="49"/>
        <v>98971.5</v>
      </c>
      <c r="M483">
        <f t="shared" si="50"/>
        <v>69</v>
      </c>
      <c r="N483" t="str">
        <f t="shared" si="53"/>
        <v>No</v>
      </c>
      <c r="O483">
        <f t="shared" si="54"/>
        <v>0</v>
      </c>
      <c r="P483" t="str">
        <f t="shared" si="55"/>
        <v>None</v>
      </c>
      <c r="Q483" t="s">
        <v>124</v>
      </c>
    </row>
    <row r="484" spans="1:17" x14ac:dyDescent="0.3">
      <c r="A484">
        <v>483</v>
      </c>
      <c r="B484" t="s">
        <v>21</v>
      </c>
      <c r="C484" s="1">
        <v>45839</v>
      </c>
      <c r="D484" t="s">
        <v>29</v>
      </c>
      <c r="E484" t="s">
        <v>32</v>
      </c>
      <c r="F484" s="2" t="s">
        <v>37</v>
      </c>
      <c r="G484" t="str">
        <f t="shared" si="51"/>
        <v>Oudgasm Tobacco Oud 04-UAE</v>
      </c>
      <c r="H484">
        <f t="shared" si="52"/>
        <v>2250</v>
      </c>
      <c r="I484">
        <f>VLOOKUP(G484,Table4[[SKU-COUNTRY2]:[Price in USD]],2,FALSE)</f>
        <v>148.77000000000001</v>
      </c>
      <c r="J484">
        <f>VLOOKUP(G484,Sheet3!$C$82:$I$100,MATCH(E484,Sheet3!C$82:H$82,0),FALSE) * VLOOKUP(C484,Table8[],2,0)</f>
        <v>334687.5</v>
      </c>
      <c r="K484">
        <f>ROUND(J484*VLOOKUP(F484,Sheet3!$A$106:$C$111,2,FALSE),0)</f>
        <v>117141</v>
      </c>
      <c r="L484">
        <f t="shared" si="49"/>
        <v>217546.5</v>
      </c>
      <c r="M484">
        <f t="shared" si="50"/>
        <v>65</v>
      </c>
      <c r="N484" t="str">
        <f t="shared" si="53"/>
        <v>No</v>
      </c>
      <c r="O484">
        <f t="shared" si="54"/>
        <v>0</v>
      </c>
      <c r="P484" t="str">
        <f t="shared" si="55"/>
        <v>None</v>
      </c>
      <c r="Q484" t="s">
        <v>124</v>
      </c>
    </row>
    <row r="485" spans="1:17" x14ac:dyDescent="0.3">
      <c r="A485">
        <v>484</v>
      </c>
      <c r="B485" t="s">
        <v>21</v>
      </c>
      <c r="C485" s="1">
        <v>45839</v>
      </c>
      <c r="D485" t="s">
        <v>29</v>
      </c>
      <c r="E485" t="s">
        <v>32</v>
      </c>
      <c r="F485" s="2" t="s">
        <v>38</v>
      </c>
      <c r="G485" t="str">
        <f t="shared" si="51"/>
        <v>Yum Pistachio Gelato 33-UAE</v>
      </c>
      <c r="H485">
        <f t="shared" si="52"/>
        <v>1012</v>
      </c>
      <c r="I485">
        <f>VLOOKUP(G485,Table4[[SKU-COUNTRY2]:[Price in USD]],2,FALSE)</f>
        <v>113.4</v>
      </c>
      <c r="J485">
        <f>VLOOKUP(G485,Sheet3!$C$82:$I$100,MATCH(E485,Sheet3!C$82:H$82,0),FALSE) * VLOOKUP(C485,Table8[],2,0)</f>
        <v>114750</v>
      </c>
      <c r="K485">
        <f>ROUND(J485*VLOOKUP(F485,Sheet3!$A$106:$C$111,2,FALSE),0)</f>
        <v>35573</v>
      </c>
      <c r="L485">
        <f t="shared" si="49"/>
        <v>79177</v>
      </c>
      <c r="M485">
        <f t="shared" si="50"/>
        <v>69</v>
      </c>
      <c r="N485" t="str">
        <f t="shared" si="53"/>
        <v>No</v>
      </c>
      <c r="O485">
        <f t="shared" si="54"/>
        <v>0</v>
      </c>
      <c r="P485" t="str">
        <f t="shared" si="55"/>
        <v>None</v>
      </c>
      <c r="Q485" t="s">
        <v>124</v>
      </c>
    </row>
    <row r="486" spans="1:17" x14ac:dyDescent="0.3">
      <c r="A486">
        <v>485</v>
      </c>
      <c r="B486" t="s">
        <v>21</v>
      </c>
      <c r="C486" s="1">
        <v>45839</v>
      </c>
      <c r="D486" t="s">
        <v>29</v>
      </c>
      <c r="E486" t="s">
        <v>32</v>
      </c>
      <c r="F486" s="2" t="s">
        <v>39</v>
      </c>
      <c r="G486" t="str">
        <f t="shared" si="51"/>
        <v>Freedom Musk Santal 34-UAE</v>
      </c>
      <c r="H486">
        <f t="shared" si="52"/>
        <v>843</v>
      </c>
      <c r="I486">
        <f>VLOOKUP(G486,Table4[[SKU-COUNTRY2]:[Price in USD]],2,FALSE)</f>
        <v>113.4</v>
      </c>
      <c r="J486">
        <f>VLOOKUP(G486,Sheet3!$C$82:$I$100,MATCH(E486,Sheet3!C$82:H$82,0),FALSE) * VLOOKUP(C486,Table8[],2,0)</f>
        <v>95625</v>
      </c>
      <c r="K486">
        <f>ROUND(J486*VLOOKUP(F486,Sheet3!$A$106:$C$111,2,FALSE),0)</f>
        <v>30600</v>
      </c>
      <c r="L486">
        <f t="shared" si="49"/>
        <v>65025</v>
      </c>
      <c r="M486">
        <f t="shared" si="50"/>
        <v>68</v>
      </c>
      <c r="N486" t="str">
        <f t="shared" si="53"/>
        <v>No</v>
      </c>
      <c r="O486">
        <f t="shared" si="54"/>
        <v>0</v>
      </c>
      <c r="P486" t="str">
        <f t="shared" si="55"/>
        <v>None</v>
      </c>
      <c r="Q486" t="s">
        <v>124</v>
      </c>
    </row>
    <row r="487" spans="1:17" x14ac:dyDescent="0.3">
      <c r="A487">
        <v>486</v>
      </c>
      <c r="B487" t="s">
        <v>21</v>
      </c>
      <c r="C487" s="1">
        <v>45839</v>
      </c>
      <c r="D487" t="s">
        <v>29</v>
      </c>
      <c r="E487" t="s">
        <v>32</v>
      </c>
      <c r="F487" s="2" t="s">
        <v>40</v>
      </c>
      <c r="G487" t="str">
        <f t="shared" si="51"/>
        <v>Musk 12-UAE</v>
      </c>
      <c r="H487">
        <f t="shared" si="52"/>
        <v>675</v>
      </c>
      <c r="I487">
        <f>VLOOKUP(G487,Table4[[SKU-COUNTRY2]:[Price in USD]],2,FALSE)</f>
        <v>113.4</v>
      </c>
      <c r="J487">
        <f>VLOOKUP(G487,Sheet3!$C$82:$I$100,MATCH(E487,Sheet3!C$82:H$82,0),FALSE) * VLOOKUP(C487,Table8[],2,0)</f>
        <v>76500</v>
      </c>
      <c r="K487">
        <f>ROUND(J487*VLOOKUP(F487,Sheet3!$A$106:$C$111,2,FALSE),0)</f>
        <v>22950</v>
      </c>
      <c r="L487">
        <f t="shared" si="49"/>
        <v>53550</v>
      </c>
      <c r="M487">
        <f t="shared" si="50"/>
        <v>70</v>
      </c>
      <c r="N487" t="str">
        <f t="shared" si="53"/>
        <v>No</v>
      </c>
      <c r="O487">
        <f t="shared" si="54"/>
        <v>0</v>
      </c>
      <c r="P487" t="str">
        <f t="shared" si="55"/>
        <v>None</v>
      </c>
      <c r="Q487" t="s">
        <v>124</v>
      </c>
    </row>
    <row r="488" spans="1:17" x14ac:dyDescent="0.3">
      <c r="A488">
        <v>487</v>
      </c>
      <c r="B488" t="s">
        <v>21</v>
      </c>
      <c r="C488" s="1">
        <v>45839</v>
      </c>
      <c r="D488" t="s">
        <v>29</v>
      </c>
      <c r="E488" t="s">
        <v>31</v>
      </c>
      <c r="F488" s="2" t="s">
        <v>35</v>
      </c>
      <c r="G488" t="str">
        <f t="shared" si="51"/>
        <v>Vanilla 28-UAE</v>
      </c>
      <c r="H488">
        <f t="shared" si="52"/>
        <v>937</v>
      </c>
      <c r="I488">
        <f>VLOOKUP(G488,Table4[[SKU-COUNTRY2]:[Price in USD]],2,FALSE)</f>
        <v>113.4</v>
      </c>
      <c r="J488">
        <f>VLOOKUP(G488,Sheet3!$C$82:$I$100,MATCH(E488,Sheet3!C$82:H$82,0),FALSE) * VLOOKUP(C488,Table8[],2,0)</f>
        <v>106250</v>
      </c>
      <c r="K488">
        <f>ROUND(J488*VLOOKUP(F488,Sheet3!$A$106:$C$111,2,FALSE),0)</f>
        <v>31875</v>
      </c>
      <c r="L488">
        <f t="shared" si="49"/>
        <v>74375</v>
      </c>
      <c r="M488">
        <f t="shared" si="50"/>
        <v>70</v>
      </c>
      <c r="N488" t="str">
        <f t="shared" si="53"/>
        <v>No</v>
      </c>
      <c r="O488">
        <f t="shared" si="54"/>
        <v>0</v>
      </c>
      <c r="P488" t="str">
        <f t="shared" si="55"/>
        <v>None</v>
      </c>
      <c r="Q488" t="s">
        <v>124</v>
      </c>
    </row>
    <row r="489" spans="1:17" x14ac:dyDescent="0.3">
      <c r="A489">
        <v>488</v>
      </c>
      <c r="B489" t="s">
        <v>21</v>
      </c>
      <c r="C489" s="1">
        <v>45839</v>
      </c>
      <c r="D489" t="s">
        <v>29</v>
      </c>
      <c r="E489" t="s">
        <v>31</v>
      </c>
      <c r="F489" s="2" t="s">
        <v>36</v>
      </c>
      <c r="G489" t="str">
        <f t="shared" si="51"/>
        <v>Eden Juicy Apple 01-UAE</v>
      </c>
      <c r="H489">
        <f t="shared" si="52"/>
        <v>703</v>
      </c>
      <c r="I489">
        <f>VLOOKUP(G489,Table4[[SKU-COUNTRY2]:[Price in USD]],2,FALSE)</f>
        <v>113.4</v>
      </c>
      <c r="J489">
        <f>VLOOKUP(G489,Sheet3!$C$82:$I$100,MATCH(E489,Sheet3!C$82:H$82,0),FALSE) * VLOOKUP(C489,Table8[],2,0)</f>
        <v>79687.5</v>
      </c>
      <c r="K489">
        <f>ROUND(J489*VLOOKUP(F489,Sheet3!$A$106:$C$111,2,FALSE),0)</f>
        <v>24703</v>
      </c>
      <c r="L489">
        <f t="shared" si="49"/>
        <v>54984.5</v>
      </c>
      <c r="M489">
        <f t="shared" si="50"/>
        <v>69</v>
      </c>
      <c r="N489" t="str">
        <f t="shared" si="53"/>
        <v>No</v>
      </c>
      <c r="O489">
        <f t="shared" si="54"/>
        <v>0</v>
      </c>
      <c r="P489" t="str">
        <f t="shared" si="55"/>
        <v>None</v>
      </c>
      <c r="Q489" t="s">
        <v>124</v>
      </c>
    </row>
    <row r="490" spans="1:17" x14ac:dyDescent="0.3">
      <c r="A490">
        <v>489</v>
      </c>
      <c r="B490" t="s">
        <v>21</v>
      </c>
      <c r="C490" s="1">
        <v>45839</v>
      </c>
      <c r="D490" t="s">
        <v>29</v>
      </c>
      <c r="E490" t="s">
        <v>31</v>
      </c>
      <c r="F490" s="2" t="s">
        <v>37</v>
      </c>
      <c r="G490" t="str">
        <f t="shared" si="51"/>
        <v>Oudgasm Tobacco Oud 04-UAE</v>
      </c>
      <c r="H490">
        <f t="shared" si="52"/>
        <v>1250</v>
      </c>
      <c r="I490">
        <f>VLOOKUP(G490,Table4[[SKU-COUNTRY2]:[Price in USD]],2,FALSE)</f>
        <v>148.77000000000001</v>
      </c>
      <c r="J490">
        <f>VLOOKUP(G490,Sheet3!$C$82:$I$100,MATCH(E490,Sheet3!C$82:H$82,0),FALSE) * VLOOKUP(C490,Table8[],2,0)</f>
        <v>185937.5</v>
      </c>
      <c r="K490">
        <f>ROUND(J490*VLOOKUP(F490,Sheet3!$A$106:$C$111,2,FALSE),0)</f>
        <v>65078</v>
      </c>
      <c r="L490">
        <f t="shared" si="49"/>
        <v>120859.5</v>
      </c>
      <c r="M490">
        <f t="shared" si="50"/>
        <v>65</v>
      </c>
      <c r="N490" t="str">
        <f t="shared" si="53"/>
        <v>No</v>
      </c>
      <c r="O490">
        <f t="shared" si="54"/>
        <v>0</v>
      </c>
      <c r="P490" t="str">
        <f t="shared" si="55"/>
        <v>None</v>
      </c>
      <c r="Q490" t="s">
        <v>124</v>
      </c>
    </row>
    <row r="491" spans="1:17" x14ac:dyDescent="0.3">
      <c r="A491">
        <v>490</v>
      </c>
      <c r="B491" t="s">
        <v>21</v>
      </c>
      <c r="C491" s="1">
        <v>45839</v>
      </c>
      <c r="D491" t="s">
        <v>29</v>
      </c>
      <c r="E491" t="s">
        <v>31</v>
      </c>
      <c r="F491" s="2" t="s">
        <v>38</v>
      </c>
      <c r="G491" t="str">
        <f t="shared" si="51"/>
        <v>Yum Pistachio Gelato 33-UAE</v>
      </c>
      <c r="H491">
        <f t="shared" si="52"/>
        <v>562</v>
      </c>
      <c r="I491">
        <f>VLOOKUP(G491,Table4[[SKU-COUNTRY2]:[Price in USD]],2,FALSE)</f>
        <v>113.4</v>
      </c>
      <c r="J491">
        <f>VLOOKUP(G491,Sheet3!$C$82:$I$100,MATCH(E491,Sheet3!C$82:H$82,0),FALSE) * VLOOKUP(C491,Table8[],2,0)</f>
        <v>63750</v>
      </c>
      <c r="K491">
        <f>ROUND(J491*VLOOKUP(F491,Sheet3!$A$106:$C$111,2,FALSE),0)</f>
        <v>19763</v>
      </c>
      <c r="L491">
        <f t="shared" si="49"/>
        <v>43987</v>
      </c>
      <c r="M491">
        <f t="shared" si="50"/>
        <v>69</v>
      </c>
      <c r="N491" t="str">
        <f t="shared" si="53"/>
        <v>No</v>
      </c>
      <c r="O491">
        <f t="shared" si="54"/>
        <v>0</v>
      </c>
      <c r="P491" t="str">
        <f t="shared" si="55"/>
        <v>None</v>
      </c>
      <c r="Q491" t="s">
        <v>124</v>
      </c>
    </row>
    <row r="492" spans="1:17" x14ac:dyDescent="0.3">
      <c r="A492">
        <v>491</v>
      </c>
      <c r="B492" t="s">
        <v>21</v>
      </c>
      <c r="C492" s="1">
        <v>45839</v>
      </c>
      <c r="D492" t="s">
        <v>29</v>
      </c>
      <c r="E492" t="s">
        <v>31</v>
      </c>
      <c r="F492" s="2" t="s">
        <v>39</v>
      </c>
      <c r="G492" t="str">
        <f t="shared" si="51"/>
        <v>Freedom Musk Santal 34-UAE</v>
      </c>
      <c r="H492">
        <f t="shared" si="52"/>
        <v>468</v>
      </c>
      <c r="I492">
        <f>VLOOKUP(G492,Table4[[SKU-COUNTRY2]:[Price in USD]],2,FALSE)</f>
        <v>113.4</v>
      </c>
      <c r="J492">
        <f>VLOOKUP(G492,Sheet3!$C$82:$I$100,MATCH(E492,Sheet3!C$82:H$82,0),FALSE) * VLOOKUP(C492,Table8[],2,0)</f>
        <v>53125</v>
      </c>
      <c r="K492">
        <f>ROUND(J492*VLOOKUP(F492,Sheet3!$A$106:$C$111,2,FALSE),0)</f>
        <v>17000</v>
      </c>
      <c r="L492">
        <f t="shared" si="49"/>
        <v>36125</v>
      </c>
      <c r="M492">
        <f t="shared" si="50"/>
        <v>68</v>
      </c>
      <c r="N492" t="str">
        <f t="shared" si="53"/>
        <v>No</v>
      </c>
      <c r="O492">
        <f t="shared" si="54"/>
        <v>0</v>
      </c>
      <c r="P492" t="str">
        <f t="shared" si="55"/>
        <v>None</v>
      </c>
      <c r="Q492" t="s">
        <v>124</v>
      </c>
    </row>
    <row r="493" spans="1:17" x14ac:dyDescent="0.3">
      <c r="A493">
        <v>492</v>
      </c>
      <c r="B493" t="s">
        <v>21</v>
      </c>
      <c r="C493" s="1">
        <v>45839</v>
      </c>
      <c r="D493" t="s">
        <v>29</v>
      </c>
      <c r="E493" t="s">
        <v>31</v>
      </c>
      <c r="F493" s="2" t="s">
        <v>40</v>
      </c>
      <c r="G493" t="str">
        <f t="shared" si="51"/>
        <v>Musk 12-UAE</v>
      </c>
      <c r="H493">
        <f t="shared" si="52"/>
        <v>375</v>
      </c>
      <c r="I493">
        <f>VLOOKUP(G493,Table4[[SKU-COUNTRY2]:[Price in USD]],2,FALSE)</f>
        <v>113.4</v>
      </c>
      <c r="J493">
        <f>VLOOKUP(G493,Sheet3!$C$82:$I$100,MATCH(E493,Sheet3!C$82:H$82,0),FALSE) * VLOOKUP(C493,Table8[],2,0)</f>
        <v>42500</v>
      </c>
      <c r="K493">
        <f>ROUND(J493*VLOOKUP(F493,Sheet3!$A$106:$C$111,2,FALSE),0)</f>
        <v>12750</v>
      </c>
      <c r="L493">
        <f t="shared" si="49"/>
        <v>29750</v>
      </c>
      <c r="M493">
        <f t="shared" si="50"/>
        <v>70</v>
      </c>
      <c r="N493" t="str">
        <f t="shared" si="53"/>
        <v>No</v>
      </c>
      <c r="O493">
        <f t="shared" si="54"/>
        <v>0</v>
      </c>
      <c r="P493" t="str">
        <f t="shared" si="55"/>
        <v>None</v>
      </c>
      <c r="Q493" t="s">
        <v>124</v>
      </c>
    </row>
    <row r="494" spans="1:17" x14ac:dyDescent="0.3">
      <c r="A494">
        <v>493</v>
      </c>
      <c r="B494" t="s">
        <v>21</v>
      </c>
      <c r="C494" s="1">
        <v>45839</v>
      </c>
      <c r="D494" t="s">
        <v>29</v>
      </c>
      <c r="E494" t="s">
        <v>33</v>
      </c>
      <c r="F494" s="2" t="s">
        <v>35</v>
      </c>
      <c r="G494" t="str">
        <f t="shared" si="51"/>
        <v>Vanilla 28-UAE</v>
      </c>
      <c r="H494">
        <f t="shared" si="52"/>
        <v>750</v>
      </c>
      <c r="I494">
        <f>VLOOKUP(G494,Table4[[SKU-COUNTRY2]:[Price in USD]],2,FALSE)</f>
        <v>113.4</v>
      </c>
      <c r="J494">
        <f>VLOOKUP(G494,Sheet3!$C$82:$I$100,MATCH(E494,Sheet3!C$82:H$82,0),FALSE) * VLOOKUP(C494,Table8[],2,0)</f>
        <v>85000</v>
      </c>
      <c r="K494">
        <f>ROUND(J494*VLOOKUP(F494,Sheet3!$A$106:$C$111,2,FALSE),0)</f>
        <v>25500</v>
      </c>
      <c r="L494">
        <f t="shared" si="49"/>
        <v>59500</v>
      </c>
      <c r="M494">
        <f t="shared" si="50"/>
        <v>70</v>
      </c>
      <c r="N494" t="str">
        <f t="shared" si="53"/>
        <v>No</v>
      </c>
      <c r="O494">
        <f t="shared" si="54"/>
        <v>0</v>
      </c>
      <c r="P494" t="str">
        <f t="shared" si="55"/>
        <v>None</v>
      </c>
      <c r="Q494" t="s">
        <v>124</v>
      </c>
    </row>
    <row r="495" spans="1:17" x14ac:dyDescent="0.3">
      <c r="A495">
        <v>494</v>
      </c>
      <c r="B495" t="s">
        <v>21</v>
      </c>
      <c r="C495" s="1">
        <v>45839</v>
      </c>
      <c r="D495" t="s">
        <v>29</v>
      </c>
      <c r="E495" t="s">
        <v>33</v>
      </c>
      <c r="F495" s="2" t="s">
        <v>36</v>
      </c>
      <c r="G495" t="str">
        <f t="shared" si="51"/>
        <v>Eden Juicy Apple 01-UAE</v>
      </c>
      <c r="H495">
        <f t="shared" si="52"/>
        <v>562</v>
      </c>
      <c r="I495">
        <f>VLOOKUP(G495,Table4[[SKU-COUNTRY2]:[Price in USD]],2,FALSE)</f>
        <v>113.4</v>
      </c>
      <c r="J495">
        <f>VLOOKUP(G495,Sheet3!$C$82:$I$100,MATCH(E495,Sheet3!C$82:H$82,0),FALSE) * VLOOKUP(C495,Table8[],2,0)</f>
        <v>63750</v>
      </c>
      <c r="K495">
        <f>ROUND(J495*VLOOKUP(F495,Sheet3!$A$106:$C$111,2,FALSE),0)</f>
        <v>19763</v>
      </c>
      <c r="L495">
        <f t="shared" si="49"/>
        <v>43987</v>
      </c>
      <c r="M495">
        <f t="shared" si="50"/>
        <v>69</v>
      </c>
      <c r="N495" t="str">
        <f t="shared" si="53"/>
        <v>No</v>
      </c>
      <c r="O495">
        <f t="shared" si="54"/>
        <v>0</v>
      </c>
      <c r="P495" t="str">
        <f t="shared" si="55"/>
        <v>None</v>
      </c>
      <c r="Q495" t="s">
        <v>124</v>
      </c>
    </row>
    <row r="496" spans="1:17" x14ac:dyDescent="0.3">
      <c r="A496">
        <v>495</v>
      </c>
      <c r="B496" t="s">
        <v>21</v>
      </c>
      <c r="C496" s="1">
        <v>45839</v>
      </c>
      <c r="D496" t="s">
        <v>29</v>
      </c>
      <c r="E496" t="s">
        <v>33</v>
      </c>
      <c r="F496" s="2" t="s">
        <v>37</v>
      </c>
      <c r="G496" t="str">
        <f t="shared" si="51"/>
        <v>Oudgasm Tobacco Oud 04-UAE</v>
      </c>
      <c r="H496">
        <f t="shared" si="52"/>
        <v>1000</v>
      </c>
      <c r="I496">
        <f>VLOOKUP(G496,Table4[[SKU-COUNTRY2]:[Price in USD]],2,FALSE)</f>
        <v>148.77000000000001</v>
      </c>
      <c r="J496">
        <f>VLOOKUP(G496,Sheet3!$C$82:$I$100,MATCH(E496,Sheet3!C$82:H$82,0),FALSE) * VLOOKUP(C496,Table8[],2,0)</f>
        <v>148750</v>
      </c>
      <c r="K496">
        <f>ROUND(J496*VLOOKUP(F496,Sheet3!$A$106:$C$111,2,FALSE),0)</f>
        <v>52063</v>
      </c>
      <c r="L496">
        <f t="shared" si="49"/>
        <v>96687</v>
      </c>
      <c r="M496">
        <f t="shared" si="50"/>
        <v>65</v>
      </c>
      <c r="N496" t="str">
        <f t="shared" si="53"/>
        <v>No</v>
      </c>
      <c r="O496">
        <f t="shared" si="54"/>
        <v>0</v>
      </c>
      <c r="P496" t="str">
        <f t="shared" si="55"/>
        <v>None</v>
      </c>
      <c r="Q496" t="s">
        <v>124</v>
      </c>
    </row>
    <row r="497" spans="1:17" x14ac:dyDescent="0.3">
      <c r="A497">
        <v>496</v>
      </c>
      <c r="B497" t="s">
        <v>21</v>
      </c>
      <c r="C497" s="1">
        <v>45839</v>
      </c>
      <c r="D497" t="s">
        <v>29</v>
      </c>
      <c r="E497" t="s">
        <v>33</v>
      </c>
      <c r="F497" s="2" t="s">
        <v>38</v>
      </c>
      <c r="G497" t="str">
        <f t="shared" si="51"/>
        <v>Yum Pistachio Gelato 33-UAE</v>
      </c>
      <c r="H497">
        <f t="shared" si="52"/>
        <v>450</v>
      </c>
      <c r="I497">
        <f>VLOOKUP(G497,Table4[[SKU-COUNTRY2]:[Price in USD]],2,FALSE)</f>
        <v>113.4</v>
      </c>
      <c r="J497">
        <f>VLOOKUP(G497,Sheet3!$C$82:$I$100,MATCH(E497,Sheet3!C$82:H$82,0),FALSE) * VLOOKUP(C497,Table8[],2,0)</f>
        <v>51000</v>
      </c>
      <c r="K497">
        <f>ROUND(J497*VLOOKUP(F497,Sheet3!$A$106:$C$111,2,FALSE),0)</f>
        <v>15810</v>
      </c>
      <c r="L497">
        <f t="shared" si="49"/>
        <v>35190</v>
      </c>
      <c r="M497">
        <f t="shared" si="50"/>
        <v>69</v>
      </c>
      <c r="N497" t="str">
        <f t="shared" si="53"/>
        <v>No</v>
      </c>
      <c r="O497">
        <f t="shared" si="54"/>
        <v>0</v>
      </c>
      <c r="P497" t="str">
        <f t="shared" si="55"/>
        <v>None</v>
      </c>
      <c r="Q497" t="s">
        <v>124</v>
      </c>
    </row>
    <row r="498" spans="1:17" x14ac:dyDescent="0.3">
      <c r="A498">
        <v>497</v>
      </c>
      <c r="B498" t="s">
        <v>21</v>
      </c>
      <c r="C498" s="1">
        <v>45839</v>
      </c>
      <c r="D498" t="s">
        <v>29</v>
      </c>
      <c r="E498" t="s">
        <v>33</v>
      </c>
      <c r="F498" s="2" t="s">
        <v>39</v>
      </c>
      <c r="G498" t="str">
        <f t="shared" si="51"/>
        <v>Freedom Musk Santal 34-UAE</v>
      </c>
      <c r="H498">
        <f t="shared" si="52"/>
        <v>375</v>
      </c>
      <c r="I498">
        <f>VLOOKUP(G498,Table4[[SKU-COUNTRY2]:[Price in USD]],2,FALSE)</f>
        <v>113.4</v>
      </c>
      <c r="J498">
        <f>VLOOKUP(G498,Sheet3!$C$82:$I$100,MATCH(E498,Sheet3!C$82:H$82,0),FALSE) * VLOOKUP(C498,Table8[],2,0)</f>
        <v>42500</v>
      </c>
      <c r="K498">
        <f>ROUND(J498*VLOOKUP(F498,Sheet3!$A$106:$C$111,2,FALSE),0)</f>
        <v>13600</v>
      </c>
      <c r="L498">
        <f t="shared" si="49"/>
        <v>28900</v>
      </c>
      <c r="M498">
        <f t="shared" si="50"/>
        <v>68</v>
      </c>
      <c r="N498" t="str">
        <f t="shared" si="53"/>
        <v>No</v>
      </c>
      <c r="O498">
        <f t="shared" si="54"/>
        <v>0</v>
      </c>
      <c r="P498" t="str">
        <f t="shared" si="55"/>
        <v>None</v>
      </c>
      <c r="Q498" t="s">
        <v>124</v>
      </c>
    </row>
    <row r="499" spans="1:17" x14ac:dyDescent="0.3">
      <c r="A499">
        <v>498</v>
      </c>
      <c r="B499" t="s">
        <v>21</v>
      </c>
      <c r="C499" s="1">
        <v>45839</v>
      </c>
      <c r="D499" t="s">
        <v>29</v>
      </c>
      <c r="E499" t="s">
        <v>33</v>
      </c>
      <c r="F499" s="2" t="s">
        <v>40</v>
      </c>
      <c r="G499" t="str">
        <f t="shared" si="51"/>
        <v>Musk 12-UAE</v>
      </c>
      <c r="H499">
        <f t="shared" si="52"/>
        <v>300</v>
      </c>
      <c r="I499">
        <f>VLOOKUP(G499,Table4[[SKU-COUNTRY2]:[Price in USD]],2,FALSE)</f>
        <v>113.4</v>
      </c>
      <c r="J499">
        <f>VLOOKUP(G499,Sheet3!$C$82:$I$100,MATCH(E499,Sheet3!C$82:H$82,0),FALSE) * VLOOKUP(C499,Table8[],2,0)</f>
        <v>34000</v>
      </c>
      <c r="K499">
        <f>ROUND(J499*VLOOKUP(F499,Sheet3!$A$106:$C$111,2,FALSE),0)</f>
        <v>10200</v>
      </c>
      <c r="L499">
        <f t="shared" si="49"/>
        <v>23800</v>
      </c>
      <c r="M499">
        <f t="shared" si="50"/>
        <v>70</v>
      </c>
      <c r="N499" t="str">
        <f t="shared" si="53"/>
        <v>No</v>
      </c>
      <c r="O499">
        <f t="shared" si="54"/>
        <v>0</v>
      </c>
      <c r="P499" t="str">
        <f t="shared" si="55"/>
        <v>None</v>
      </c>
      <c r="Q499" t="s">
        <v>124</v>
      </c>
    </row>
    <row r="500" spans="1:17" x14ac:dyDescent="0.3">
      <c r="A500">
        <v>499</v>
      </c>
      <c r="B500" t="s">
        <v>21</v>
      </c>
      <c r="C500" s="1">
        <v>45839</v>
      </c>
      <c r="D500" t="s">
        <v>29</v>
      </c>
      <c r="E500" t="s">
        <v>34</v>
      </c>
      <c r="F500" s="2" t="s">
        <v>35</v>
      </c>
      <c r="G500" t="str">
        <f t="shared" si="51"/>
        <v>Vanilla 28-UAE</v>
      </c>
      <c r="H500">
        <f t="shared" si="52"/>
        <v>375</v>
      </c>
      <c r="I500">
        <f>VLOOKUP(G500,Table4[[SKU-COUNTRY2]:[Price in USD]],2,FALSE)</f>
        <v>113.4</v>
      </c>
      <c r="J500">
        <f>VLOOKUP(G500,Sheet3!$C$82:$I$100,MATCH(E500,Sheet3!C$82:H$82,0),FALSE) * VLOOKUP(C500,Table8[],2,0)</f>
        <v>42500</v>
      </c>
      <c r="K500">
        <f>ROUND(J500*VLOOKUP(F500,Sheet3!$A$106:$C$111,2,FALSE),0)</f>
        <v>12750</v>
      </c>
      <c r="L500">
        <f t="shared" si="49"/>
        <v>29750</v>
      </c>
      <c r="M500">
        <f t="shared" si="50"/>
        <v>70</v>
      </c>
      <c r="N500" t="str">
        <f t="shared" si="53"/>
        <v>No</v>
      </c>
      <c r="O500">
        <f t="shared" si="54"/>
        <v>0</v>
      </c>
      <c r="P500" t="str">
        <f t="shared" si="55"/>
        <v>None</v>
      </c>
      <c r="Q500" t="s">
        <v>124</v>
      </c>
    </row>
    <row r="501" spans="1:17" x14ac:dyDescent="0.3">
      <c r="A501">
        <v>500</v>
      </c>
      <c r="B501" t="s">
        <v>21</v>
      </c>
      <c r="C501" s="1">
        <v>45839</v>
      </c>
      <c r="D501" t="s">
        <v>29</v>
      </c>
      <c r="E501" t="s">
        <v>34</v>
      </c>
      <c r="F501" s="2" t="s">
        <v>36</v>
      </c>
      <c r="G501" t="str">
        <f t="shared" si="51"/>
        <v>Eden Juicy Apple 01-UAE</v>
      </c>
      <c r="H501">
        <f t="shared" si="52"/>
        <v>281</v>
      </c>
      <c r="I501">
        <f>VLOOKUP(G501,Table4[[SKU-COUNTRY2]:[Price in USD]],2,FALSE)</f>
        <v>113.4</v>
      </c>
      <c r="J501">
        <f>VLOOKUP(G501,Sheet3!$C$82:$I$100,MATCH(E501,Sheet3!C$82:H$82,0),FALSE) * VLOOKUP(C501,Table8[],2,0)</f>
        <v>31875</v>
      </c>
      <c r="K501">
        <f>ROUND(J501*VLOOKUP(F501,Sheet3!$A$106:$C$111,2,FALSE),0)</f>
        <v>9881</v>
      </c>
      <c r="L501">
        <f t="shared" si="49"/>
        <v>21994</v>
      </c>
      <c r="M501">
        <f t="shared" si="50"/>
        <v>69</v>
      </c>
      <c r="N501" t="str">
        <f t="shared" si="53"/>
        <v>No</v>
      </c>
      <c r="O501">
        <f t="shared" si="54"/>
        <v>0</v>
      </c>
      <c r="P501" t="str">
        <f t="shared" si="55"/>
        <v>None</v>
      </c>
      <c r="Q501" t="s">
        <v>124</v>
      </c>
    </row>
    <row r="502" spans="1:17" x14ac:dyDescent="0.3">
      <c r="A502">
        <v>501</v>
      </c>
      <c r="B502" t="s">
        <v>21</v>
      </c>
      <c r="C502" s="1">
        <v>45839</v>
      </c>
      <c r="D502" t="s">
        <v>29</v>
      </c>
      <c r="E502" t="s">
        <v>34</v>
      </c>
      <c r="F502" s="2" t="s">
        <v>37</v>
      </c>
      <c r="G502" t="str">
        <f t="shared" si="51"/>
        <v>Oudgasm Tobacco Oud 04-UAE</v>
      </c>
      <c r="H502">
        <f t="shared" si="52"/>
        <v>500</v>
      </c>
      <c r="I502">
        <f>VLOOKUP(G502,Table4[[SKU-COUNTRY2]:[Price in USD]],2,FALSE)</f>
        <v>148.77000000000001</v>
      </c>
      <c r="J502">
        <f>VLOOKUP(G502,Sheet3!$C$82:$I$100,MATCH(E502,Sheet3!C$82:H$82,0),FALSE) * VLOOKUP(C502,Table8[],2,0)</f>
        <v>74375</v>
      </c>
      <c r="K502">
        <f>ROUND(J502*VLOOKUP(F502,Sheet3!$A$106:$C$111,2,FALSE),0)</f>
        <v>26031</v>
      </c>
      <c r="L502">
        <f t="shared" si="49"/>
        <v>48344</v>
      </c>
      <c r="M502">
        <f t="shared" si="50"/>
        <v>65</v>
      </c>
      <c r="N502" t="str">
        <f t="shared" si="53"/>
        <v>No</v>
      </c>
      <c r="O502">
        <f t="shared" si="54"/>
        <v>0</v>
      </c>
      <c r="P502" t="str">
        <f t="shared" si="55"/>
        <v>None</v>
      </c>
      <c r="Q502" t="s">
        <v>124</v>
      </c>
    </row>
    <row r="503" spans="1:17" x14ac:dyDescent="0.3">
      <c r="A503">
        <v>502</v>
      </c>
      <c r="B503" t="s">
        <v>21</v>
      </c>
      <c r="C503" s="1">
        <v>45839</v>
      </c>
      <c r="D503" t="s">
        <v>29</v>
      </c>
      <c r="E503" t="s">
        <v>34</v>
      </c>
      <c r="F503" s="2" t="s">
        <v>38</v>
      </c>
      <c r="G503" t="str">
        <f t="shared" si="51"/>
        <v>Yum Pistachio Gelato 33-UAE</v>
      </c>
      <c r="H503">
        <f t="shared" si="52"/>
        <v>225</v>
      </c>
      <c r="I503">
        <f>VLOOKUP(G503,Table4[[SKU-COUNTRY2]:[Price in USD]],2,FALSE)</f>
        <v>113.4</v>
      </c>
      <c r="J503">
        <f>VLOOKUP(G503,Sheet3!$C$82:$I$100,MATCH(E503,Sheet3!C$82:H$82,0),FALSE) * VLOOKUP(C503,Table8[],2,0)</f>
        <v>25500</v>
      </c>
      <c r="K503">
        <f>ROUND(J503*VLOOKUP(F503,Sheet3!$A$106:$C$111,2,FALSE),0)</f>
        <v>7905</v>
      </c>
      <c r="L503">
        <f t="shared" si="49"/>
        <v>17595</v>
      </c>
      <c r="M503">
        <f t="shared" si="50"/>
        <v>69</v>
      </c>
      <c r="N503" t="str">
        <f t="shared" si="53"/>
        <v>No</v>
      </c>
      <c r="O503">
        <f t="shared" si="54"/>
        <v>0</v>
      </c>
      <c r="P503" t="str">
        <f t="shared" si="55"/>
        <v>None</v>
      </c>
      <c r="Q503" t="s">
        <v>124</v>
      </c>
    </row>
    <row r="504" spans="1:17" x14ac:dyDescent="0.3">
      <c r="A504">
        <v>503</v>
      </c>
      <c r="B504" t="s">
        <v>21</v>
      </c>
      <c r="C504" s="1">
        <v>45839</v>
      </c>
      <c r="D504" t="s">
        <v>29</v>
      </c>
      <c r="E504" t="s">
        <v>34</v>
      </c>
      <c r="F504" s="2" t="s">
        <v>39</v>
      </c>
      <c r="G504" t="str">
        <f t="shared" si="51"/>
        <v>Freedom Musk Santal 34-UAE</v>
      </c>
      <c r="H504">
        <f t="shared" si="52"/>
        <v>187</v>
      </c>
      <c r="I504">
        <f>VLOOKUP(G504,Table4[[SKU-COUNTRY2]:[Price in USD]],2,FALSE)</f>
        <v>113.4</v>
      </c>
      <c r="J504">
        <f>VLOOKUP(G504,Sheet3!$C$82:$I$100,MATCH(E504,Sheet3!C$82:H$82,0),FALSE) * VLOOKUP(C504,Table8[],2,0)</f>
        <v>21250</v>
      </c>
      <c r="K504">
        <f>ROUND(J504*VLOOKUP(F504,Sheet3!$A$106:$C$111,2,FALSE),0)</f>
        <v>6800</v>
      </c>
      <c r="L504">
        <f t="shared" si="49"/>
        <v>14450</v>
      </c>
      <c r="M504">
        <f t="shared" si="50"/>
        <v>68</v>
      </c>
      <c r="N504" t="str">
        <f t="shared" si="53"/>
        <v>No</v>
      </c>
      <c r="O504">
        <f t="shared" si="54"/>
        <v>0</v>
      </c>
      <c r="P504" t="str">
        <f t="shared" si="55"/>
        <v>None</v>
      </c>
      <c r="Q504" t="s">
        <v>124</v>
      </c>
    </row>
    <row r="505" spans="1:17" x14ac:dyDescent="0.3">
      <c r="A505">
        <v>504</v>
      </c>
      <c r="B505" t="s">
        <v>21</v>
      </c>
      <c r="C505" s="1">
        <v>45839</v>
      </c>
      <c r="D505" t="s">
        <v>29</v>
      </c>
      <c r="E505" t="s">
        <v>34</v>
      </c>
      <c r="F505" s="2" t="s">
        <v>40</v>
      </c>
      <c r="G505" t="str">
        <f t="shared" si="51"/>
        <v>Musk 12-UAE</v>
      </c>
      <c r="H505">
        <f t="shared" si="52"/>
        <v>150</v>
      </c>
      <c r="I505">
        <f>VLOOKUP(G505,Table4[[SKU-COUNTRY2]:[Price in USD]],2,FALSE)</f>
        <v>113.4</v>
      </c>
      <c r="J505">
        <f>VLOOKUP(G505,Sheet3!$C$82:$I$100,MATCH(E505,Sheet3!C$82:H$82,0),FALSE) * VLOOKUP(C505,Table8[],2,0)</f>
        <v>17000</v>
      </c>
      <c r="K505">
        <f>ROUND(J505*VLOOKUP(F505,Sheet3!$A$106:$C$111,2,FALSE),0)</f>
        <v>5100</v>
      </c>
      <c r="L505">
        <f t="shared" si="49"/>
        <v>11900</v>
      </c>
      <c r="M505">
        <f t="shared" si="50"/>
        <v>70</v>
      </c>
      <c r="N505" t="str">
        <f t="shared" si="53"/>
        <v>No</v>
      </c>
      <c r="O505">
        <f t="shared" si="54"/>
        <v>0</v>
      </c>
      <c r="P505" t="str">
        <f t="shared" si="55"/>
        <v>None</v>
      </c>
      <c r="Q505" t="s">
        <v>124</v>
      </c>
    </row>
    <row r="506" spans="1:17" x14ac:dyDescent="0.3">
      <c r="A506">
        <v>505</v>
      </c>
      <c r="B506" t="s">
        <v>22</v>
      </c>
      <c r="C506" s="1">
        <v>45870</v>
      </c>
      <c r="D506" t="s">
        <v>28</v>
      </c>
      <c r="E506" t="s">
        <v>32</v>
      </c>
      <c r="F506" s="2" t="s">
        <v>35</v>
      </c>
      <c r="G506" t="str">
        <f t="shared" si="51"/>
        <v>Vanilla 28-USA</v>
      </c>
      <c r="H506">
        <f t="shared" si="52"/>
        <v>23100</v>
      </c>
      <c r="I506">
        <f>VLOOKUP(G506,Table4[[SKU-COUNTRY2]:[Price in USD]],2,FALSE)</f>
        <v>105</v>
      </c>
      <c r="J506">
        <f>VLOOKUP(G506,Sheet3!$C$82:$I$100,MATCH(E506,Sheet3!C$82:H$82,0),FALSE) * VLOOKUP(C506,Table8[],2,0)</f>
        <v>2425500</v>
      </c>
      <c r="K506">
        <f>ROUND(J506*VLOOKUP(F506,Sheet3!$A$106:$C$111,2,FALSE),0)</f>
        <v>727650</v>
      </c>
      <c r="L506">
        <f t="shared" si="49"/>
        <v>1697850</v>
      </c>
      <c r="M506">
        <f t="shared" si="50"/>
        <v>70</v>
      </c>
      <c r="N506" t="str">
        <f t="shared" si="53"/>
        <v>No</v>
      </c>
      <c r="O506">
        <f t="shared" si="54"/>
        <v>0</v>
      </c>
      <c r="P506" t="str">
        <f t="shared" si="55"/>
        <v>None</v>
      </c>
      <c r="Q506" t="s">
        <v>124</v>
      </c>
    </row>
    <row r="507" spans="1:17" x14ac:dyDescent="0.3">
      <c r="A507">
        <v>506</v>
      </c>
      <c r="B507" t="s">
        <v>22</v>
      </c>
      <c r="C507" s="1">
        <v>45870</v>
      </c>
      <c r="D507" t="s">
        <v>28</v>
      </c>
      <c r="E507" t="s">
        <v>32</v>
      </c>
      <c r="F507" s="2" t="s">
        <v>36</v>
      </c>
      <c r="G507" t="str">
        <f t="shared" si="51"/>
        <v>Eden Juicy Apple 01-USA</v>
      </c>
      <c r="H507">
        <f t="shared" si="52"/>
        <v>13200</v>
      </c>
      <c r="I507">
        <f>VLOOKUP(G507,Table4[[SKU-COUNTRY2]:[Price in USD]],2,FALSE)</f>
        <v>105</v>
      </c>
      <c r="J507">
        <f>VLOOKUP(G507,Sheet3!$C$82:$I$100,MATCH(E507,Sheet3!C$82:H$82,0),FALSE) * VLOOKUP(C507,Table8[],2,0)</f>
        <v>1386000.0000000002</v>
      </c>
      <c r="K507">
        <f>ROUND(J507*VLOOKUP(F507,Sheet3!$A$106:$C$111,2,FALSE),0)</f>
        <v>429660</v>
      </c>
      <c r="L507">
        <f t="shared" si="49"/>
        <v>956340.00000000023</v>
      </c>
      <c r="M507">
        <f t="shared" si="50"/>
        <v>69</v>
      </c>
      <c r="N507" t="str">
        <f t="shared" si="53"/>
        <v>No</v>
      </c>
      <c r="O507">
        <f t="shared" si="54"/>
        <v>0</v>
      </c>
      <c r="P507" t="str">
        <f t="shared" si="55"/>
        <v>None</v>
      </c>
      <c r="Q507" t="s">
        <v>124</v>
      </c>
    </row>
    <row r="508" spans="1:17" x14ac:dyDescent="0.3">
      <c r="A508">
        <v>507</v>
      </c>
      <c r="B508" t="s">
        <v>22</v>
      </c>
      <c r="C508" s="1">
        <v>45870</v>
      </c>
      <c r="D508" t="s">
        <v>28</v>
      </c>
      <c r="E508" t="s">
        <v>32</v>
      </c>
      <c r="F508" s="2" t="s">
        <v>37</v>
      </c>
      <c r="G508" t="str">
        <f t="shared" si="51"/>
        <v>Oudgasm Tobacco Oud 04-USA</v>
      </c>
      <c r="H508">
        <f t="shared" si="52"/>
        <v>8910</v>
      </c>
      <c r="I508">
        <f>VLOOKUP(G508,Table4[[SKU-COUNTRY2]:[Price in USD]],2,FALSE)</f>
        <v>140</v>
      </c>
      <c r="J508">
        <f>VLOOKUP(G508,Sheet3!$C$82:$I$100,MATCH(E508,Sheet3!C$82:H$82,0),FALSE) * VLOOKUP(C508,Table8[],2,0)</f>
        <v>1247400</v>
      </c>
      <c r="K508">
        <f>ROUND(J508*VLOOKUP(F508,Sheet3!$A$106:$C$111,2,FALSE),0)</f>
        <v>436590</v>
      </c>
      <c r="L508">
        <f t="shared" si="49"/>
        <v>810810</v>
      </c>
      <c r="M508">
        <f t="shared" si="50"/>
        <v>65</v>
      </c>
      <c r="N508" t="str">
        <f t="shared" si="53"/>
        <v>No</v>
      </c>
      <c r="O508">
        <f t="shared" si="54"/>
        <v>0</v>
      </c>
      <c r="P508" t="str">
        <f t="shared" si="55"/>
        <v>None</v>
      </c>
      <c r="Q508" t="s">
        <v>124</v>
      </c>
    </row>
    <row r="509" spans="1:17" x14ac:dyDescent="0.3">
      <c r="A509">
        <v>508</v>
      </c>
      <c r="B509" t="s">
        <v>22</v>
      </c>
      <c r="C509" s="1">
        <v>45870</v>
      </c>
      <c r="D509" t="s">
        <v>28</v>
      </c>
      <c r="E509" t="s">
        <v>32</v>
      </c>
      <c r="F509" s="2" t="s">
        <v>38</v>
      </c>
      <c r="G509" t="str">
        <f t="shared" si="51"/>
        <v>Yum Pistachio Gelato 33-USA</v>
      </c>
      <c r="H509">
        <f t="shared" si="52"/>
        <v>7920</v>
      </c>
      <c r="I509">
        <f>VLOOKUP(G509,Table4[[SKU-COUNTRY2]:[Price in USD]],2,FALSE)</f>
        <v>105</v>
      </c>
      <c r="J509">
        <f>VLOOKUP(G509,Sheet3!$C$82:$I$100,MATCH(E509,Sheet3!C$82:H$82,0),FALSE) * VLOOKUP(C509,Table8[],2,0)</f>
        <v>831600.00000000012</v>
      </c>
      <c r="K509">
        <f>ROUND(J509*VLOOKUP(F509,Sheet3!$A$106:$C$111,2,FALSE),0)</f>
        <v>257796</v>
      </c>
      <c r="L509">
        <f t="shared" si="49"/>
        <v>573804.00000000012</v>
      </c>
      <c r="M509">
        <f t="shared" si="50"/>
        <v>69</v>
      </c>
      <c r="N509" t="str">
        <f t="shared" si="53"/>
        <v>No</v>
      </c>
      <c r="O509">
        <f t="shared" si="54"/>
        <v>0</v>
      </c>
      <c r="P509" t="str">
        <f t="shared" si="55"/>
        <v>None</v>
      </c>
      <c r="Q509" t="s">
        <v>124</v>
      </c>
    </row>
    <row r="510" spans="1:17" x14ac:dyDescent="0.3">
      <c r="A510">
        <v>509</v>
      </c>
      <c r="B510" t="s">
        <v>22</v>
      </c>
      <c r="C510" s="1">
        <v>45870</v>
      </c>
      <c r="D510" t="s">
        <v>28</v>
      </c>
      <c r="E510" t="s">
        <v>32</v>
      </c>
      <c r="F510" s="2" t="s">
        <v>39</v>
      </c>
      <c r="G510" t="str">
        <f t="shared" si="51"/>
        <v>Freedom Musk Santal 34-USA</v>
      </c>
      <c r="H510">
        <f t="shared" si="52"/>
        <v>6600</v>
      </c>
      <c r="I510">
        <f>VLOOKUP(G510,Table4[[SKU-COUNTRY2]:[Price in USD]],2,FALSE)</f>
        <v>105</v>
      </c>
      <c r="J510">
        <f>VLOOKUP(G510,Sheet3!$C$82:$I$100,MATCH(E510,Sheet3!C$82:H$82,0),FALSE) * VLOOKUP(C510,Table8[],2,0)</f>
        <v>693000.00000000012</v>
      </c>
      <c r="K510">
        <f>ROUND(J510*VLOOKUP(F510,Sheet3!$A$106:$C$111,2,FALSE),0)</f>
        <v>221760</v>
      </c>
      <c r="L510">
        <f t="shared" si="49"/>
        <v>471240.00000000012</v>
      </c>
      <c r="M510">
        <f t="shared" si="50"/>
        <v>68</v>
      </c>
      <c r="N510" t="str">
        <f t="shared" si="53"/>
        <v>No</v>
      </c>
      <c r="O510">
        <f t="shared" si="54"/>
        <v>0</v>
      </c>
      <c r="P510" t="str">
        <f t="shared" si="55"/>
        <v>None</v>
      </c>
      <c r="Q510" t="s">
        <v>124</v>
      </c>
    </row>
    <row r="511" spans="1:17" x14ac:dyDescent="0.3">
      <c r="A511">
        <v>510</v>
      </c>
      <c r="B511" t="s">
        <v>22</v>
      </c>
      <c r="C511" s="1">
        <v>45870</v>
      </c>
      <c r="D511" t="s">
        <v>28</v>
      </c>
      <c r="E511" t="s">
        <v>32</v>
      </c>
      <c r="F511" s="2" t="s">
        <v>40</v>
      </c>
      <c r="G511" t="str">
        <f t="shared" si="51"/>
        <v>Musk 12-USA</v>
      </c>
      <c r="H511">
        <f t="shared" si="52"/>
        <v>3300</v>
      </c>
      <c r="I511">
        <f>VLOOKUP(G511,Table4[[SKU-COUNTRY2]:[Price in USD]],2,FALSE)</f>
        <v>105</v>
      </c>
      <c r="J511">
        <f>VLOOKUP(G511,Sheet3!$C$82:$I$100,MATCH(E511,Sheet3!C$82:H$82,0),FALSE) * VLOOKUP(C511,Table8[],2,0)</f>
        <v>346500.00000000006</v>
      </c>
      <c r="K511">
        <f>ROUND(J511*VLOOKUP(F511,Sheet3!$A$106:$C$111,2,FALSE),0)</f>
        <v>103950</v>
      </c>
      <c r="L511">
        <f t="shared" si="49"/>
        <v>242550.00000000006</v>
      </c>
      <c r="M511">
        <f t="shared" si="50"/>
        <v>70</v>
      </c>
      <c r="N511" t="str">
        <f t="shared" si="53"/>
        <v>No</v>
      </c>
      <c r="O511">
        <f t="shared" si="54"/>
        <v>0</v>
      </c>
      <c r="P511" t="str">
        <f t="shared" si="55"/>
        <v>None</v>
      </c>
      <c r="Q511" t="s">
        <v>124</v>
      </c>
    </row>
    <row r="512" spans="1:17" x14ac:dyDescent="0.3">
      <c r="A512">
        <v>511</v>
      </c>
      <c r="B512" t="s">
        <v>22</v>
      </c>
      <c r="C512" s="1">
        <v>45870</v>
      </c>
      <c r="D512" t="s">
        <v>28</v>
      </c>
      <c r="E512" t="s">
        <v>31</v>
      </c>
      <c r="F512" s="2" t="s">
        <v>35</v>
      </c>
      <c r="G512" t="str">
        <f t="shared" si="51"/>
        <v>Vanilla 28-USA</v>
      </c>
      <c r="H512">
        <f t="shared" si="52"/>
        <v>10500</v>
      </c>
      <c r="I512">
        <f>VLOOKUP(G512,Table4[[SKU-COUNTRY2]:[Price in USD]],2,FALSE)</f>
        <v>105</v>
      </c>
      <c r="J512">
        <f>VLOOKUP(G512,Sheet3!$C$82:$I$100,MATCH(E512,Sheet3!C$82:H$82,0),FALSE) * VLOOKUP(C512,Table8[],2,0)</f>
        <v>1102500</v>
      </c>
      <c r="K512">
        <f>ROUND(J512*VLOOKUP(F512,Sheet3!$A$106:$C$111,2,FALSE),0)</f>
        <v>330750</v>
      </c>
      <c r="L512">
        <f t="shared" si="49"/>
        <v>771750</v>
      </c>
      <c r="M512">
        <f t="shared" si="50"/>
        <v>70</v>
      </c>
      <c r="N512" t="str">
        <f t="shared" si="53"/>
        <v>No</v>
      </c>
      <c r="O512">
        <f t="shared" si="54"/>
        <v>0</v>
      </c>
      <c r="P512" t="str">
        <f t="shared" si="55"/>
        <v>None</v>
      </c>
      <c r="Q512" t="s">
        <v>124</v>
      </c>
    </row>
    <row r="513" spans="1:17" x14ac:dyDescent="0.3">
      <c r="A513">
        <v>512</v>
      </c>
      <c r="B513" t="s">
        <v>22</v>
      </c>
      <c r="C513" s="1">
        <v>45870</v>
      </c>
      <c r="D513" t="s">
        <v>28</v>
      </c>
      <c r="E513" t="s">
        <v>31</v>
      </c>
      <c r="F513" s="2" t="s">
        <v>36</v>
      </c>
      <c r="G513" t="str">
        <f t="shared" si="51"/>
        <v>Eden Juicy Apple 01-USA</v>
      </c>
      <c r="H513">
        <f t="shared" si="52"/>
        <v>6000</v>
      </c>
      <c r="I513">
        <f>VLOOKUP(G513,Table4[[SKU-COUNTRY2]:[Price in USD]],2,FALSE)</f>
        <v>105</v>
      </c>
      <c r="J513">
        <f>VLOOKUP(G513,Sheet3!$C$82:$I$100,MATCH(E513,Sheet3!C$82:H$82,0),FALSE) * VLOOKUP(C513,Table8[],2,0)</f>
        <v>630000</v>
      </c>
      <c r="K513">
        <f>ROUND(J513*VLOOKUP(F513,Sheet3!$A$106:$C$111,2,FALSE),0)</f>
        <v>195300</v>
      </c>
      <c r="L513">
        <f t="shared" si="49"/>
        <v>434700</v>
      </c>
      <c r="M513">
        <f t="shared" si="50"/>
        <v>69</v>
      </c>
      <c r="N513" t="str">
        <f t="shared" si="53"/>
        <v>No</v>
      </c>
      <c r="O513">
        <f t="shared" si="54"/>
        <v>0</v>
      </c>
      <c r="P513" t="str">
        <f t="shared" si="55"/>
        <v>None</v>
      </c>
      <c r="Q513" t="s">
        <v>124</v>
      </c>
    </row>
    <row r="514" spans="1:17" x14ac:dyDescent="0.3">
      <c r="A514">
        <v>513</v>
      </c>
      <c r="B514" t="s">
        <v>22</v>
      </c>
      <c r="C514" s="1">
        <v>45870</v>
      </c>
      <c r="D514" t="s">
        <v>28</v>
      </c>
      <c r="E514" t="s">
        <v>31</v>
      </c>
      <c r="F514" s="2" t="s">
        <v>37</v>
      </c>
      <c r="G514" t="str">
        <f t="shared" si="51"/>
        <v>Oudgasm Tobacco Oud 04-USA</v>
      </c>
      <c r="H514">
        <f t="shared" si="52"/>
        <v>4050</v>
      </c>
      <c r="I514">
        <f>VLOOKUP(G514,Table4[[SKU-COUNTRY2]:[Price in USD]],2,FALSE)</f>
        <v>140</v>
      </c>
      <c r="J514">
        <f>VLOOKUP(G514,Sheet3!$C$82:$I$100,MATCH(E514,Sheet3!C$82:H$82,0),FALSE) * VLOOKUP(C514,Table8[],2,0)</f>
        <v>567000</v>
      </c>
      <c r="K514">
        <f>ROUND(J514*VLOOKUP(F514,Sheet3!$A$106:$C$111,2,FALSE),0)</f>
        <v>198450</v>
      </c>
      <c r="L514">
        <f t="shared" ref="L514:L577" si="56">J514-K514</f>
        <v>368550</v>
      </c>
      <c r="M514">
        <f t="shared" ref="M514:M577" si="57">ROUND(L514/J514*100, 1)</f>
        <v>65</v>
      </c>
      <c r="N514" t="str">
        <f t="shared" si="53"/>
        <v>No</v>
      </c>
      <c r="O514">
        <f t="shared" si="54"/>
        <v>0</v>
      </c>
      <c r="P514" t="str">
        <f t="shared" si="55"/>
        <v>None</v>
      </c>
      <c r="Q514" t="s">
        <v>124</v>
      </c>
    </row>
    <row r="515" spans="1:17" x14ac:dyDescent="0.3">
      <c r="A515">
        <v>514</v>
      </c>
      <c r="B515" t="s">
        <v>22</v>
      </c>
      <c r="C515" s="1">
        <v>45870</v>
      </c>
      <c r="D515" t="s">
        <v>28</v>
      </c>
      <c r="E515" t="s">
        <v>31</v>
      </c>
      <c r="F515" s="2" t="s">
        <v>38</v>
      </c>
      <c r="G515" t="str">
        <f t="shared" ref="G515:G578" si="58">_xlfn.CONCAT(F515,"-",D515,)</f>
        <v>Yum Pistachio Gelato 33-USA</v>
      </c>
      <c r="H515">
        <f t="shared" ref="H515:H578" si="59">ROUND(J515/I515,0)</f>
        <v>3600</v>
      </c>
      <c r="I515">
        <f>VLOOKUP(G515,Table4[[SKU-COUNTRY2]:[Price in USD]],2,FALSE)</f>
        <v>105</v>
      </c>
      <c r="J515">
        <f>VLOOKUP(G515,Sheet3!$C$82:$I$100,MATCH(E515,Sheet3!C$82:H$82,0),FALSE) * VLOOKUP(C515,Table8[],2,0)</f>
        <v>378000</v>
      </c>
      <c r="K515">
        <f>ROUND(J515*VLOOKUP(F515,Sheet3!$A$106:$C$111,2,FALSE),0)</f>
        <v>117180</v>
      </c>
      <c r="L515">
        <f t="shared" si="56"/>
        <v>260820</v>
      </c>
      <c r="M515">
        <f t="shared" si="57"/>
        <v>69</v>
      </c>
      <c r="N515" t="str">
        <f t="shared" ref="N515:N578" si="60">IF(OR(
    MONTH(C515)=2,
    AND(MONTH(C515)=3, D515="UAE"),
    AND(MONTH(C515)=6, D515="UAE"),
    AND(MONTH(C515)=7, OR(D515="USA", D515="UK")),
    MONTH(C515)=9,
    AND(MONTH(C515)=11, OR(D515="USA", D515="UK"))
), "Yes", "No")</f>
        <v>No</v>
      </c>
      <c r="O515">
        <f t="shared" ref="O515:O578" si="61">IF(MONTH(C515)=2, 15,
IF(AND(MONTH(C515)=3, D515="UAE"), 20,
IF(AND(MONTH(C515)=6, D515="UAE"), 15,
IF(AND(MONTH(C515)=7, OR(D515="USA", D515="UK")), 20,
IF(AND(MONTH(C515)=11, OR(D515="USA", D515="UK")), 25,
0)))))</f>
        <v>0</v>
      </c>
      <c r="P515" t="str">
        <f t="shared" ref="P515:P578" si="62">IF(MONTH(C515)=2, "Valentine's Day",
IF(AND(MONTH(C515)=3, D515="UAE"), "Eid Al Fitr",
IF(AND(MONTH(C515)=6, D515="UAE"), "Eid Al Adha",
IF(AND(MONTH(C515)=7, OR(D515="USA", D515="UK")), "Summer Sale",
IF(MONTH(C515)=9, "Freedom Launch",
IF(AND(MONTH(C515)=11, OR(D515="USA", D515="UK")), "Black Friday",
"None"))))))</f>
        <v>None</v>
      </c>
      <c r="Q515" t="s">
        <v>124</v>
      </c>
    </row>
    <row r="516" spans="1:17" x14ac:dyDescent="0.3">
      <c r="A516">
        <v>515</v>
      </c>
      <c r="B516" t="s">
        <v>22</v>
      </c>
      <c r="C516" s="1">
        <v>45870</v>
      </c>
      <c r="D516" t="s">
        <v>28</v>
      </c>
      <c r="E516" t="s">
        <v>31</v>
      </c>
      <c r="F516" s="2" t="s">
        <v>39</v>
      </c>
      <c r="G516" t="str">
        <f t="shared" si="58"/>
        <v>Freedom Musk Santal 34-USA</v>
      </c>
      <c r="H516">
        <f t="shared" si="59"/>
        <v>3000</v>
      </c>
      <c r="I516">
        <f>VLOOKUP(G516,Table4[[SKU-COUNTRY2]:[Price in USD]],2,FALSE)</f>
        <v>105</v>
      </c>
      <c r="J516">
        <f>VLOOKUP(G516,Sheet3!$C$82:$I$100,MATCH(E516,Sheet3!C$82:H$82,0),FALSE) * VLOOKUP(C516,Table8[],2,0)</f>
        <v>315000</v>
      </c>
      <c r="K516">
        <f>ROUND(J516*VLOOKUP(F516,Sheet3!$A$106:$C$111,2,FALSE),0)</f>
        <v>100800</v>
      </c>
      <c r="L516">
        <f t="shared" si="56"/>
        <v>214200</v>
      </c>
      <c r="M516">
        <f t="shared" si="57"/>
        <v>68</v>
      </c>
      <c r="N516" t="str">
        <f t="shared" si="60"/>
        <v>No</v>
      </c>
      <c r="O516">
        <f t="shared" si="61"/>
        <v>0</v>
      </c>
      <c r="P516" t="str">
        <f t="shared" si="62"/>
        <v>None</v>
      </c>
      <c r="Q516" t="s">
        <v>124</v>
      </c>
    </row>
    <row r="517" spans="1:17" x14ac:dyDescent="0.3">
      <c r="A517">
        <v>516</v>
      </c>
      <c r="B517" t="s">
        <v>22</v>
      </c>
      <c r="C517" s="1">
        <v>45870</v>
      </c>
      <c r="D517" t="s">
        <v>28</v>
      </c>
      <c r="E517" t="s">
        <v>31</v>
      </c>
      <c r="F517" s="2" t="s">
        <v>40</v>
      </c>
      <c r="G517" t="str">
        <f t="shared" si="58"/>
        <v>Musk 12-USA</v>
      </c>
      <c r="H517">
        <f t="shared" si="59"/>
        <v>1500</v>
      </c>
      <c r="I517">
        <f>VLOOKUP(G517,Table4[[SKU-COUNTRY2]:[Price in USD]],2,FALSE)</f>
        <v>105</v>
      </c>
      <c r="J517">
        <f>VLOOKUP(G517,Sheet3!$C$82:$I$100,MATCH(E517,Sheet3!C$82:H$82,0),FALSE) * VLOOKUP(C517,Table8[],2,0)</f>
        <v>157500</v>
      </c>
      <c r="K517">
        <f>ROUND(J517*VLOOKUP(F517,Sheet3!$A$106:$C$111,2,FALSE),0)</f>
        <v>47250</v>
      </c>
      <c r="L517">
        <f t="shared" si="56"/>
        <v>110250</v>
      </c>
      <c r="M517">
        <f t="shared" si="57"/>
        <v>70</v>
      </c>
      <c r="N517" t="str">
        <f t="shared" si="60"/>
        <v>No</v>
      </c>
      <c r="O517">
        <f t="shared" si="61"/>
        <v>0</v>
      </c>
      <c r="P517" t="str">
        <f t="shared" si="62"/>
        <v>None</v>
      </c>
      <c r="Q517" t="s">
        <v>124</v>
      </c>
    </row>
    <row r="518" spans="1:17" x14ac:dyDescent="0.3">
      <c r="A518">
        <v>517</v>
      </c>
      <c r="B518" t="s">
        <v>22</v>
      </c>
      <c r="C518" s="1">
        <v>45870</v>
      </c>
      <c r="D518" t="s">
        <v>28</v>
      </c>
      <c r="E518" t="s">
        <v>33</v>
      </c>
      <c r="F518" s="2" t="s">
        <v>35</v>
      </c>
      <c r="G518" t="str">
        <f t="shared" si="58"/>
        <v>Vanilla 28-USA</v>
      </c>
      <c r="H518">
        <f t="shared" si="59"/>
        <v>5040</v>
      </c>
      <c r="I518">
        <f>VLOOKUP(G518,Table4[[SKU-COUNTRY2]:[Price in USD]],2,FALSE)</f>
        <v>105</v>
      </c>
      <c r="J518">
        <f>VLOOKUP(G518,Sheet3!$C$82:$I$100,MATCH(E518,Sheet3!C$82:H$82,0),FALSE) * VLOOKUP(C518,Table8[],2,0)</f>
        <v>529200</v>
      </c>
      <c r="K518">
        <f>ROUND(J518*VLOOKUP(F518,Sheet3!$A$106:$C$111,2,FALSE),0)</f>
        <v>158760</v>
      </c>
      <c r="L518">
        <f t="shared" si="56"/>
        <v>370440</v>
      </c>
      <c r="M518">
        <f t="shared" si="57"/>
        <v>70</v>
      </c>
      <c r="N518" t="str">
        <f t="shared" si="60"/>
        <v>No</v>
      </c>
      <c r="O518">
        <f t="shared" si="61"/>
        <v>0</v>
      </c>
      <c r="P518" t="str">
        <f t="shared" si="62"/>
        <v>None</v>
      </c>
      <c r="Q518" t="s">
        <v>124</v>
      </c>
    </row>
    <row r="519" spans="1:17" x14ac:dyDescent="0.3">
      <c r="A519">
        <v>518</v>
      </c>
      <c r="B519" t="s">
        <v>22</v>
      </c>
      <c r="C519" s="1">
        <v>45870</v>
      </c>
      <c r="D519" t="s">
        <v>28</v>
      </c>
      <c r="E519" t="s">
        <v>33</v>
      </c>
      <c r="F519" s="2" t="s">
        <v>36</v>
      </c>
      <c r="G519" t="str">
        <f t="shared" si="58"/>
        <v>Eden Juicy Apple 01-USA</v>
      </c>
      <c r="H519">
        <f t="shared" si="59"/>
        <v>2880</v>
      </c>
      <c r="I519">
        <f>VLOOKUP(G519,Table4[[SKU-COUNTRY2]:[Price in USD]],2,FALSE)</f>
        <v>105</v>
      </c>
      <c r="J519">
        <f>VLOOKUP(G519,Sheet3!$C$82:$I$100,MATCH(E519,Sheet3!C$82:H$82,0),FALSE) * VLOOKUP(C519,Table8[],2,0)</f>
        <v>302400</v>
      </c>
      <c r="K519">
        <f>ROUND(J519*VLOOKUP(F519,Sheet3!$A$106:$C$111,2,FALSE),0)</f>
        <v>93744</v>
      </c>
      <c r="L519">
        <f t="shared" si="56"/>
        <v>208656</v>
      </c>
      <c r="M519">
        <f t="shared" si="57"/>
        <v>69</v>
      </c>
      <c r="N519" t="str">
        <f t="shared" si="60"/>
        <v>No</v>
      </c>
      <c r="O519">
        <f t="shared" si="61"/>
        <v>0</v>
      </c>
      <c r="P519" t="str">
        <f t="shared" si="62"/>
        <v>None</v>
      </c>
      <c r="Q519" t="s">
        <v>124</v>
      </c>
    </row>
    <row r="520" spans="1:17" x14ac:dyDescent="0.3">
      <c r="A520">
        <v>519</v>
      </c>
      <c r="B520" t="s">
        <v>22</v>
      </c>
      <c r="C520" s="1">
        <v>45870</v>
      </c>
      <c r="D520" t="s">
        <v>28</v>
      </c>
      <c r="E520" t="s">
        <v>33</v>
      </c>
      <c r="F520" s="2" t="s">
        <v>37</v>
      </c>
      <c r="G520" t="str">
        <f t="shared" si="58"/>
        <v>Oudgasm Tobacco Oud 04-USA</v>
      </c>
      <c r="H520">
        <f t="shared" si="59"/>
        <v>1944</v>
      </c>
      <c r="I520">
        <f>VLOOKUP(G520,Table4[[SKU-COUNTRY2]:[Price in USD]],2,FALSE)</f>
        <v>140</v>
      </c>
      <c r="J520">
        <f>VLOOKUP(G520,Sheet3!$C$82:$I$100,MATCH(E520,Sheet3!C$82:H$82,0),FALSE) * VLOOKUP(C520,Table8[],2,0)</f>
        <v>272160</v>
      </c>
      <c r="K520">
        <f>ROUND(J520*VLOOKUP(F520,Sheet3!$A$106:$C$111,2,FALSE),0)</f>
        <v>95256</v>
      </c>
      <c r="L520">
        <f t="shared" si="56"/>
        <v>176904</v>
      </c>
      <c r="M520">
        <f t="shared" si="57"/>
        <v>65</v>
      </c>
      <c r="N520" t="str">
        <f t="shared" si="60"/>
        <v>No</v>
      </c>
      <c r="O520">
        <f t="shared" si="61"/>
        <v>0</v>
      </c>
      <c r="P520" t="str">
        <f t="shared" si="62"/>
        <v>None</v>
      </c>
      <c r="Q520" t="s">
        <v>124</v>
      </c>
    </row>
    <row r="521" spans="1:17" x14ac:dyDescent="0.3">
      <c r="A521">
        <v>520</v>
      </c>
      <c r="B521" t="s">
        <v>22</v>
      </c>
      <c r="C521" s="1">
        <v>45870</v>
      </c>
      <c r="D521" t="s">
        <v>28</v>
      </c>
      <c r="E521" t="s">
        <v>33</v>
      </c>
      <c r="F521" s="2" t="s">
        <v>38</v>
      </c>
      <c r="G521" t="str">
        <f t="shared" si="58"/>
        <v>Yum Pistachio Gelato 33-USA</v>
      </c>
      <c r="H521">
        <f t="shared" si="59"/>
        <v>1728</v>
      </c>
      <c r="I521">
        <f>VLOOKUP(G521,Table4[[SKU-COUNTRY2]:[Price in USD]],2,FALSE)</f>
        <v>105</v>
      </c>
      <c r="J521">
        <f>VLOOKUP(G521,Sheet3!$C$82:$I$100,MATCH(E521,Sheet3!C$82:H$82,0),FALSE) * VLOOKUP(C521,Table8[],2,0)</f>
        <v>181440</v>
      </c>
      <c r="K521">
        <f>ROUND(J521*VLOOKUP(F521,Sheet3!$A$106:$C$111,2,FALSE),0)</f>
        <v>56246</v>
      </c>
      <c r="L521">
        <f t="shared" si="56"/>
        <v>125194</v>
      </c>
      <c r="M521">
        <f t="shared" si="57"/>
        <v>69</v>
      </c>
      <c r="N521" t="str">
        <f t="shared" si="60"/>
        <v>No</v>
      </c>
      <c r="O521">
        <f t="shared" si="61"/>
        <v>0</v>
      </c>
      <c r="P521" t="str">
        <f t="shared" si="62"/>
        <v>None</v>
      </c>
      <c r="Q521" t="s">
        <v>124</v>
      </c>
    </row>
    <row r="522" spans="1:17" x14ac:dyDescent="0.3">
      <c r="A522">
        <v>521</v>
      </c>
      <c r="B522" t="s">
        <v>22</v>
      </c>
      <c r="C522" s="1">
        <v>45870</v>
      </c>
      <c r="D522" t="s">
        <v>28</v>
      </c>
      <c r="E522" t="s">
        <v>33</v>
      </c>
      <c r="F522" s="2" t="s">
        <v>39</v>
      </c>
      <c r="G522" t="str">
        <f t="shared" si="58"/>
        <v>Freedom Musk Santal 34-USA</v>
      </c>
      <c r="H522">
        <f t="shared" si="59"/>
        <v>1440</v>
      </c>
      <c r="I522">
        <f>VLOOKUP(G522,Table4[[SKU-COUNTRY2]:[Price in USD]],2,FALSE)</f>
        <v>105</v>
      </c>
      <c r="J522">
        <f>VLOOKUP(G522,Sheet3!$C$82:$I$100,MATCH(E522,Sheet3!C$82:H$82,0),FALSE) * VLOOKUP(C522,Table8[],2,0)</f>
        <v>151200</v>
      </c>
      <c r="K522">
        <f>ROUND(J522*VLOOKUP(F522,Sheet3!$A$106:$C$111,2,FALSE),0)</f>
        <v>48384</v>
      </c>
      <c r="L522">
        <f t="shared" si="56"/>
        <v>102816</v>
      </c>
      <c r="M522">
        <f t="shared" si="57"/>
        <v>68</v>
      </c>
      <c r="N522" t="str">
        <f t="shared" si="60"/>
        <v>No</v>
      </c>
      <c r="O522">
        <f t="shared" si="61"/>
        <v>0</v>
      </c>
      <c r="P522" t="str">
        <f t="shared" si="62"/>
        <v>None</v>
      </c>
      <c r="Q522" t="s">
        <v>124</v>
      </c>
    </row>
    <row r="523" spans="1:17" x14ac:dyDescent="0.3">
      <c r="A523">
        <v>522</v>
      </c>
      <c r="B523" t="s">
        <v>22</v>
      </c>
      <c r="C523" s="1">
        <v>45870</v>
      </c>
      <c r="D523" t="s">
        <v>28</v>
      </c>
      <c r="E523" t="s">
        <v>33</v>
      </c>
      <c r="F523" s="2" t="s">
        <v>40</v>
      </c>
      <c r="G523" t="str">
        <f t="shared" si="58"/>
        <v>Musk 12-USA</v>
      </c>
      <c r="H523">
        <f t="shared" si="59"/>
        <v>720</v>
      </c>
      <c r="I523">
        <f>VLOOKUP(G523,Table4[[SKU-COUNTRY2]:[Price in USD]],2,FALSE)</f>
        <v>105</v>
      </c>
      <c r="J523">
        <f>VLOOKUP(G523,Sheet3!$C$82:$I$100,MATCH(E523,Sheet3!C$82:H$82,0),FALSE) * VLOOKUP(C523,Table8[],2,0)</f>
        <v>75600</v>
      </c>
      <c r="K523">
        <f>ROUND(J523*VLOOKUP(F523,Sheet3!$A$106:$C$111,2,FALSE),0)</f>
        <v>22680</v>
      </c>
      <c r="L523">
        <f t="shared" si="56"/>
        <v>52920</v>
      </c>
      <c r="M523">
        <f t="shared" si="57"/>
        <v>70</v>
      </c>
      <c r="N523" t="str">
        <f t="shared" si="60"/>
        <v>No</v>
      </c>
      <c r="O523">
        <f t="shared" si="61"/>
        <v>0</v>
      </c>
      <c r="P523" t="str">
        <f t="shared" si="62"/>
        <v>None</v>
      </c>
      <c r="Q523" t="s">
        <v>124</v>
      </c>
    </row>
    <row r="524" spans="1:17" x14ac:dyDescent="0.3">
      <c r="A524">
        <v>523</v>
      </c>
      <c r="B524" t="s">
        <v>22</v>
      </c>
      <c r="C524" s="1">
        <v>45870</v>
      </c>
      <c r="D524" t="s">
        <v>28</v>
      </c>
      <c r="E524" t="s">
        <v>34</v>
      </c>
      <c r="F524" s="2" t="s">
        <v>35</v>
      </c>
      <c r="G524" t="str">
        <f t="shared" si="58"/>
        <v>Vanilla 28-USA</v>
      </c>
      <c r="H524">
        <f t="shared" si="59"/>
        <v>3360</v>
      </c>
      <c r="I524">
        <f>VLOOKUP(G524,Table4[[SKU-COUNTRY2]:[Price in USD]],2,FALSE)</f>
        <v>105</v>
      </c>
      <c r="J524">
        <f>VLOOKUP(G524,Sheet3!$C$82:$I$100,MATCH(E524,Sheet3!C$82:H$82,0),FALSE) * VLOOKUP(C524,Table8[],2,0)</f>
        <v>352800</v>
      </c>
      <c r="K524">
        <f>ROUND(J524*VLOOKUP(F524,Sheet3!$A$106:$C$111,2,FALSE),0)</f>
        <v>105840</v>
      </c>
      <c r="L524">
        <f t="shared" si="56"/>
        <v>246960</v>
      </c>
      <c r="M524">
        <f t="shared" si="57"/>
        <v>70</v>
      </c>
      <c r="N524" t="str">
        <f t="shared" si="60"/>
        <v>No</v>
      </c>
      <c r="O524">
        <f t="shared" si="61"/>
        <v>0</v>
      </c>
      <c r="P524" t="str">
        <f t="shared" si="62"/>
        <v>None</v>
      </c>
      <c r="Q524" t="s">
        <v>124</v>
      </c>
    </row>
    <row r="525" spans="1:17" x14ac:dyDescent="0.3">
      <c r="A525">
        <v>524</v>
      </c>
      <c r="B525" t="s">
        <v>22</v>
      </c>
      <c r="C525" s="1">
        <v>45870</v>
      </c>
      <c r="D525" t="s">
        <v>28</v>
      </c>
      <c r="E525" t="s">
        <v>34</v>
      </c>
      <c r="F525" s="2" t="s">
        <v>36</v>
      </c>
      <c r="G525" t="str">
        <f t="shared" si="58"/>
        <v>Eden Juicy Apple 01-USA</v>
      </c>
      <c r="H525">
        <f t="shared" si="59"/>
        <v>1920</v>
      </c>
      <c r="I525">
        <f>VLOOKUP(G525,Table4[[SKU-COUNTRY2]:[Price in USD]],2,FALSE)</f>
        <v>105</v>
      </c>
      <c r="J525">
        <f>VLOOKUP(G525,Sheet3!$C$82:$I$100,MATCH(E525,Sheet3!C$82:H$82,0),FALSE) * VLOOKUP(C525,Table8[],2,0)</f>
        <v>201600</v>
      </c>
      <c r="K525">
        <f>ROUND(J525*VLOOKUP(F525,Sheet3!$A$106:$C$111,2,FALSE),0)</f>
        <v>62496</v>
      </c>
      <c r="L525">
        <f t="shared" si="56"/>
        <v>139104</v>
      </c>
      <c r="M525">
        <f t="shared" si="57"/>
        <v>69</v>
      </c>
      <c r="N525" t="str">
        <f t="shared" si="60"/>
        <v>No</v>
      </c>
      <c r="O525">
        <f t="shared" si="61"/>
        <v>0</v>
      </c>
      <c r="P525" t="str">
        <f t="shared" si="62"/>
        <v>None</v>
      </c>
      <c r="Q525" t="s">
        <v>124</v>
      </c>
    </row>
    <row r="526" spans="1:17" x14ac:dyDescent="0.3">
      <c r="A526">
        <v>525</v>
      </c>
      <c r="B526" t="s">
        <v>22</v>
      </c>
      <c r="C526" s="1">
        <v>45870</v>
      </c>
      <c r="D526" t="s">
        <v>28</v>
      </c>
      <c r="E526" t="s">
        <v>34</v>
      </c>
      <c r="F526" s="2" t="s">
        <v>37</v>
      </c>
      <c r="G526" t="str">
        <f t="shared" si="58"/>
        <v>Oudgasm Tobacco Oud 04-USA</v>
      </c>
      <c r="H526">
        <f t="shared" si="59"/>
        <v>1296</v>
      </c>
      <c r="I526">
        <f>VLOOKUP(G526,Table4[[SKU-COUNTRY2]:[Price in USD]],2,FALSE)</f>
        <v>140</v>
      </c>
      <c r="J526">
        <f>VLOOKUP(G526,Sheet3!$C$82:$I$100,MATCH(E526,Sheet3!C$82:H$82,0),FALSE) * VLOOKUP(C526,Table8[],2,0)</f>
        <v>181440</v>
      </c>
      <c r="K526">
        <f>ROUND(J526*VLOOKUP(F526,Sheet3!$A$106:$C$111,2,FALSE),0)</f>
        <v>63504</v>
      </c>
      <c r="L526">
        <f t="shared" si="56"/>
        <v>117936</v>
      </c>
      <c r="M526">
        <f t="shared" si="57"/>
        <v>65</v>
      </c>
      <c r="N526" t="str">
        <f t="shared" si="60"/>
        <v>No</v>
      </c>
      <c r="O526">
        <f t="shared" si="61"/>
        <v>0</v>
      </c>
      <c r="P526" t="str">
        <f t="shared" si="62"/>
        <v>None</v>
      </c>
      <c r="Q526" t="s">
        <v>124</v>
      </c>
    </row>
    <row r="527" spans="1:17" x14ac:dyDescent="0.3">
      <c r="A527">
        <v>526</v>
      </c>
      <c r="B527" t="s">
        <v>22</v>
      </c>
      <c r="C527" s="1">
        <v>45870</v>
      </c>
      <c r="D527" t="s">
        <v>28</v>
      </c>
      <c r="E527" t="s">
        <v>34</v>
      </c>
      <c r="F527" s="2" t="s">
        <v>38</v>
      </c>
      <c r="G527" t="str">
        <f t="shared" si="58"/>
        <v>Yum Pistachio Gelato 33-USA</v>
      </c>
      <c r="H527">
        <f t="shared" si="59"/>
        <v>1152</v>
      </c>
      <c r="I527">
        <f>VLOOKUP(G527,Table4[[SKU-COUNTRY2]:[Price in USD]],2,FALSE)</f>
        <v>105</v>
      </c>
      <c r="J527">
        <f>VLOOKUP(G527,Sheet3!$C$82:$I$100,MATCH(E527,Sheet3!C$82:H$82,0),FALSE) * VLOOKUP(C527,Table8[],2,0)</f>
        <v>120960</v>
      </c>
      <c r="K527">
        <f>ROUND(J527*VLOOKUP(F527,Sheet3!$A$106:$C$111,2,FALSE),0)</f>
        <v>37498</v>
      </c>
      <c r="L527">
        <f t="shared" si="56"/>
        <v>83462</v>
      </c>
      <c r="M527">
        <f t="shared" si="57"/>
        <v>69</v>
      </c>
      <c r="N527" t="str">
        <f t="shared" si="60"/>
        <v>No</v>
      </c>
      <c r="O527">
        <f t="shared" si="61"/>
        <v>0</v>
      </c>
      <c r="P527" t="str">
        <f t="shared" si="62"/>
        <v>None</v>
      </c>
      <c r="Q527" t="s">
        <v>124</v>
      </c>
    </row>
    <row r="528" spans="1:17" x14ac:dyDescent="0.3">
      <c r="A528">
        <v>527</v>
      </c>
      <c r="B528" t="s">
        <v>22</v>
      </c>
      <c r="C528" s="1">
        <v>45870</v>
      </c>
      <c r="D528" t="s">
        <v>28</v>
      </c>
      <c r="E528" t="s">
        <v>34</v>
      </c>
      <c r="F528" s="2" t="s">
        <v>39</v>
      </c>
      <c r="G528" t="str">
        <f t="shared" si="58"/>
        <v>Freedom Musk Santal 34-USA</v>
      </c>
      <c r="H528">
        <f t="shared" si="59"/>
        <v>960</v>
      </c>
      <c r="I528">
        <f>VLOOKUP(G528,Table4[[SKU-COUNTRY2]:[Price in USD]],2,FALSE)</f>
        <v>105</v>
      </c>
      <c r="J528">
        <f>VLOOKUP(G528,Sheet3!$C$82:$I$100,MATCH(E528,Sheet3!C$82:H$82,0),FALSE) * VLOOKUP(C528,Table8[],2,0)</f>
        <v>100800</v>
      </c>
      <c r="K528">
        <f>ROUND(J528*VLOOKUP(F528,Sheet3!$A$106:$C$111,2,FALSE),0)</f>
        <v>32256</v>
      </c>
      <c r="L528">
        <f t="shared" si="56"/>
        <v>68544</v>
      </c>
      <c r="M528">
        <f t="shared" si="57"/>
        <v>68</v>
      </c>
      <c r="N528" t="str">
        <f t="shared" si="60"/>
        <v>No</v>
      </c>
      <c r="O528">
        <f t="shared" si="61"/>
        <v>0</v>
      </c>
      <c r="P528" t="str">
        <f t="shared" si="62"/>
        <v>None</v>
      </c>
      <c r="Q528" t="s">
        <v>124</v>
      </c>
    </row>
    <row r="529" spans="1:17" x14ac:dyDescent="0.3">
      <c r="A529">
        <v>528</v>
      </c>
      <c r="B529" t="s">
        <v>22</v>
      </c>
      <c r="C529" s="1">
        <v>45870</v>
      </c>
      <c r="D529" t="s">
        <v>28</v>
      </c>
      <c r="E529" t="s">
        <v>34</v>
      </c>
      <c r="F529" s="2" t="s">
        <v>40</v>
      </c>
      <c r="G529" t="str">
        <f t="shared" si="58"/>
        <v>Musk 12-USA</v>
      </c>
      <c r="H529">
        <f t="shared" si="59"/>
        <v>480</v>
      </c>
      <c r="I529">
        <f>VLOOKUP(G529,Table4[[SKU-COUNTRY2]:[Price in USD]],2,FALSE)</f>
        <v>105</v>
      </c>
      <c r="J529">
        <f>VLOOKUP(G529,Sheet3!$C$82:$I$100,MATCH(E529,Sheet3!C$82:H$82,0),FALSE) * VLOOKUP(C529,Table8[],2,0)</f>
        <v>50400</v>
      </c>
      <c r="K529">
        <f>ROUND(J529*VLOOKUP(F529,Sheet3!$A$106:$C$111,2,FALSE),0)</f>
        <v>15120</v>
      </c>
      <c r="L529">
        <f t="shared" si="56"/>
        <v>35280</v>
      </c>
      <c r="M529">
        <f t="shared" si="57"/>
        <v>70</v>
      </c>
      <c r="N529" t="str">
        <f t="shared" si="60"/>
        <v>No</v>
      </c>
      <c r="O529">
        <f t="shared" si="61"/>
        <v>0</v>
      </c>
      <c r="P529" t="str">
        <f t="shared" si="62"/>
        <v>None</v>
      </c>
      <c r="Q529" t="s">
        <v>124</v>
      </c>
    </row>
    <row r="530" spans="1:17" x14ac:dyDescent="0.3">
      <c r="A530">
        <v>529</v>
      </c>
      <c r="B530" t="s">
        <v>22</v>
      </c>
      <c r="C530" s="1">
        <v>45870</v>
      </c>
      <c r="D530" t="s">
        <v>27</v>
      </c>
      <c r="E530" t="s">
        <v>32</v>
      </c>
      <c r="F530" s="2" t="s">
        <v>35</v>
      </c>
      <c r="G530" t="str">
        <f t="shared" si="58"/>
        <v>Vanilla 28-UK</v>
      </c>
      <c r="H530">
        <f t="shared" si="59"/>
        <v>2126</v>
      </c>
      <c r="I530">
        <f>VLOOKUP(G530,Table4[[SKU-COUNTRY2]:[Price in USD]],2,FALSE)</f>
        <v>101.6</v>
      </c>
      <c r="J530">
        <f>VLOOKUP(G530,Sheet3!$C$82:$I$100,MATCH(E530,Sheet3!C$82:H$82,0),FALSE) * VLOOKUP(C530,Table8[],2,0)</f>
        <v>216000</v>
      </c>
      <c r="K530">
        <f>ROUND(J530*VLOOKUP(F530,Sheet3!$A$106:$C$111,2,FALSE),0)</f>
        <v>64800</v>
      </c>
      <c r="L530">
        <f t="shared" si="56"/>
        <v>151200</v>
      </c>
      <c r="M530">
        <f t="shared" si="57"/>
        <v>70</v>
      </c>
      <c r="N530" t="str">
        <f t="shared" si="60"/>
        <v>No</v>
      </c>
      <c r="O530">
        <f t="shared" si="61"/>
        <v>0</v>
      </c>
      <c r="P530" t="str">
        <f t="shared" si="62"/>
        <v>None</v>
      </c>
      <c r="Q530" t="s">
        <v>124</v>
      </c>
    </row>
    <row r="531" spans="1:17" x14ac:dyDescent="0.3">
      <c r="A531">
        <v>530</v>
      </c>
      <c r="B531" t="s">
        <v>22</v>
      </c>
      <c r="C531" s="1">
        <v>45870</v>
      </c>
      <c r="D531" t="s">
        <v>27</v>
      </c>
      <c r="E531" t="s">
        <v>32</v>
      </c>
      <c r="F531" s="2" t="s">
        <v>36</v>
      </c>
      <c r="G531" t="str">
        <f t="shared" si="58"/>
        <v>Eden Juicy Apple 01-UK</v>
      </c>
      <c r="H531">
        <f t="shared" si="59"/>
        <v>1559</v>
      </c>
      <c r="I531">
        <f>VLOOKUP(G531,Table4[[SKU-COUNTRY2]:[Price in USD]],2,FALSE)</f>
        <v>101.6</v>
      </c>
      <c r="J531">
        <f>VLOOKUP(G531,Sheet3!$C$82:$I$100,MATCH(E531,Sheet3!C$82:H$82,0),FALSE) * VLOOKUP(C531,Table8[],2,0)</f>
        <v>158400</v>
      </c>
      <c r="K531">
        <f>ROUND(J531*VLOOKUP(F531,Sheet3!$A$106:$C$111,2,FALSE),0)</f>
        <v>49104</v>
      </c>
      <c r="L531">
        <f t="shared" si="56"/>
        <v>109296</v>
      </c>
      <c r="M531">
        <f t="shared" si="57"/>
        <v>69</v>
      </c>
      <c r="N531" t="str">
        <f t="shared" si="60"/>
        <v>No</v>
      </c>
      <c r="O531">
        <f t="shared" si="61"/>
        <v>0</v>
      </c>
      <c r="P531" t="str">
        <f t="shared" si="62"/>
        <v>None</v>
      </c>
      <c r="Q531" t="s">
        <v>124</v>
      </c>
    </row>
    <row r="532" spans="1:17" x14ac:dyDescent="0.3">
      <c r="A532">
        <v>531</v>
      </c>
      <c r="B532" t="s">
        <v>22</v>
      </c>
      <c r="C532" s="1">
        <v>45870</v>
      </c>
      <c r="D532" t="s">
        <v>27</v>
      </c>
      <c r="E532" t="s">
        <v>32</v>
      </c>
      <c r="F532" s="2" t="s">
        <v>37</v>
      </c>
      <c r="G532" t="str">
        <f t="shared" si="58"/>
        <v>Oudgasm Tobacco Oud 04-UK</v>
      </c>
      <c r="H532">
        <f t="shared" si="59"/>
        <v>858</v>
      </c>
      <c r="I532">
        <f>VLOOKUP(G532,Table4[[SKU-COUNTRY2]:[Price in USD]],2,FALSE)</f>
        <v>151.13</v>
      </c>
      <c r="J532">
        <f>VLOOKUP(G532,Sheet3!$C$82:$I$100,MATCH(E532,Sheet3!C$82:H$82,0),FALSE) * VLOOKUP(C532,Table8[],2,0)</f>
        <v>129600</v>
      </c>
      <c r="K532">
        <f>ROUND(J532*VLOOKUP(F532,Sheet3!$A$106:$C$111,2,FALSE),0)</f>
        <v>45360</v>
      </c>
      <c r="L532">
        <f t="shared" si="56"/>
        <v>84240</v>
      </c>
      <c r="M532">
        <f t="shared" si="57"/>
        <v>65</v>
      </c>
      <c r="N532" t="str">
        <f t="shared" si="60"/>
        <v>No</v>
      </c>
      <c r="O532">
        <f t="shared" si="61"/>
        <v>0</v>
      </c>
      <c r="P532" t="str">
        <f t="shared" si="62"/>
        <v>None</v>
      </c>
      <c r="Q532" t="s">
        <v>124</v>
      </c>
    </row>
    <row r="533" spans="1:17" x14ac:dyDescent="0.3">
      <c r="A533">
        <v>532</v>
      </c>
      <c r="B533" t="s">
        <v>22</v>
      </c>
      <c r="C533" s="1">
        <v>45870</v>
      </c>
      <c r="D533" t="s">
        <v>27</v>
      </c>
      <c r="E533" t="s">
        <v>32</v>
      </c>
      <c r="F533" s="2" t="s">
        <v>38</v>
      </c>
      <c r="G533" t="str">
        <f t="shared" si="58"/>
        <v>Yum Pistachio Gelato 33-UK</v>
      </c>
      <c r="H533">
        <f t="shared" si="59"/>
        <v>921</v>
      </c>
      <c r="I533">
        <f>VLOOKUP(G533,Table4[[SKU-COUNTRY2]:[Price in USD]],2,FALSE)</f>
        <v>101.6</v>
      </c>
      <c r="J533">
        <f>VLOOKUP(G533,Sheet3!$C$82:$I$100,MATCH(E533,Sheet3!C$82:H$82,0),FALSE) * VLOOKUP(C533,Table8[],2,0)</f>
        <v>93600</v>
      </c>
      <c r="K533">
        <f>ROUND(J533*VLOOKUP(F533,Sheet3!$A$106:$C$111,2,FALSE),0)</f>
        <v>29016</v>
      </c>
      <c r="L533">
        <f t="shared" si="56"/>
        <v>64584</v>
      </c>
      <c r="M533">
        <f t="shared" si="57"/>
        <v>69</v>
      </c>
      <c r="N533" t="str">
        <f t="shared" si="60"/>
        <v>No</v>
      </c>
      <c r="O533">
        <f t="shared" si="61"/>
        <v>0</v>
      </c>
      <c r="P533" t="str">
        <f t="shared" si="62"/>
        <v>None</v>
      </c>
      <c r="Q533" t="s">
        <v>124</v>
      </c>
    </row>
    <row r="534" spans="1:17" x14ac:dyDescent="0.3">
      <c r="A534">
        <v>533</v>
      </c>
      <c r="B534" t="s">
        <v>22</v>
      </c>
      <c r="C534" s="1">
        <v>45870</v>
      </c>
      <c r="D534" t="s">
        <v>27</v>
      </c>
      <c r="E534" t="s">
        <v>32</v>
      </c>
      <c r="F534" s="2" t="s">
        <v>39</v>
      </c>
      <c r="G534" t="str">
        <f t="shared" si="58"/>
        <v>Freedom Musk Santal 34-UK</v>
      </c>
      <c r="H534">
        <f t="shared" si="59"/>
        <v>709</v>
      </c>
      <c r="I534">
        <f>VLOOKUP(G534,Table4[[SKU-COUNTRY2]:[Price in USD]],2,FALSE)</f>
        <v>101.6</v>
      </c>
      <c r="J534">
        <f>VLOOKUP(G534,Sheet3!$C$82:$I$100,MATCH(E534,Sheet3!C$82:H$82,0),FALSE) * VLOOKUP(C534,Table8[],2,0)</f>
        <v>72000</v>
      </c>
      <c r="K534">
        <f>ROUND(J534*VLOOKUP(F534,Sheet3!$A$106:$C$111,2,FALSE),0)</f>
        <v>23040</v>
      </c>
      <c r="L534">
        <f t="shared" si="56"/>
        <v>48960</v>
      </c>
      <c r="M534">
        <f t="shared" si="57"/>
        <v>68</v>
      </c>
      <c r="N534" t="str">
        <f t="shared" si="60"/>
        <v>No</v>
      </c>
      <c r="O534">
        <f t="shared" si="61"/>
        <v>0</v>
      </c>
      <c r="P534" t="str">
        <f t="shared" si="62"/>
        <v>None</v>
      </c>
      <c r="Q534" t="s">
        <v>124</v>
      </c>
    </row>
    <row r="535" spans="1:17" x14ac:dyDescent="0.3">
      <c r="A535">
        <v>534</v>
      </c>
      <c r="B535" t="s">
        <v>22</v>
      </c>
      <c r="C535" s="1">
        <v>45870</v>
      </c>
      <c r="D535" t="s">
        <v>27</v>
      </c>
      <c r="E535" t="s">
        <v>32</v>
      </c>
      <c r="F535" s="2" t="s">
        <v>40</v>
      </c>
      <c r="G535" t="str">
        <f t="shared" si="58"/>
        <v>Musk 12-UK</v>
      </c>
      <c r="H535">
        <f t="shared" si="59"/>
        <v>496</v>
      </c>
      <c r="I535">
        <f>VLOOKUP(G535,Table4[[SKU-COUNTRY2]:[Price in USD]],2,FALSE)</f>
        <v>101.6</v>
      </c>
      <c r="J535">
        <f>VLOOKUP(G535,Sheet3!$C$82:$I$100,MATCH(E535,Sheet3!C$82:H$82,0),FALSE) * VLOOKUP(C535,Table8[],2,0)</f>
        <v>50400.000000000007</v>
      </c>
      <c r="K535">
        <f>ROUND(J535*VLOOKUP(F535,Sheet3!$A$106:$C$111,2,FALSE),0)</f>
        <v>15120</v>
      </c>
      <c r="L535">
        <f t="shared" si="56"/>
        <v>35280.000000000007</v>
      </c>
      <c r="M535">
        <f t="shared" si="57"/>
        <v>70</v>
      </c>
      <c r="N535" t="str">
        <f t="shared" si="60"/>
        <v>No</v>
      </c>
      <c r="O535">
        <f t="shared" si="61"/>
        <v>0</v>
      </c>
      <c r="P535" t="str">
        <f t="shared" si="62"/>
        <v>None</v>
      </c>
      <c r="Q535" t="s">
        <v>124</v>
      </c>
    </row>
    <row r="536" spans="1:17" x14ac:dyDescent="0.3">
      <c r="A536">
        <v>535</v>
      </c>
      <c r="B536" t="s">
        <v>22</v>
      </c>
      <c r="C536" s="1">
        <v>45870</v>
      </c>
      <c r="D536" t="s">
        <v>27</v>
      </c>
      <c r="E536" t="s">
        <v>31</v>
      </c>
      <c r="F536" s="2" t="s">
        <v>35</v>
      </c>
      <c r="G536" t="str">
        <f t="shared" si="58"/>
        <v>Vanilla 28-UK</v>
      </c>
      <c r="H536">
        <f t="shared" si="59"/>
        <v>1063</v>
      </c>
      <c r="I536">
        <f>VLOOKUP(G536,Table4[[SKU-COUNTRY2]:[Price in USD]],2,FALSE)</f>
        <v>101.6</v>
      </c>
      <c r="J536">
        <f>VLOOKUP(G536,Sheet3!$C$82:$I$100,MATCH(E536,Sheet3!C$82:H$82,0),FALSE) * VLOOKUP(C536,Table8[],2,0)</f>
        <v>108000</v>
      </c>
      <c r="K536">
        <f>ROUND(J536*VLOOKUP(F536,Sheet3!$A$106:$C$111,2,FALSE),0)</f>
        <v>32400</v>
      </c>
      <c r="L536">
        <f t="shared" si="56"/>
        <v>75600</v>
      </c>
      <c r="M536">
        <f t="shared" si="57"/>
        <v>70</v>
      </c>
      <c r="N536" t="str">
        <f t="shared" si="60"/>
        <v>No</v>
      </c>
      <c r="O536">
        <f t="shared" si="61"/>
        <v>0</v>
      </c>
      <c r="P536" t="str">
        <f t="shared" si="62"/>
        <v>None</v>
      </c>
      <c r="Q536" t="s">
        <v>124</v>
      </c>
    </row>
    <row r="537" spans="1:17" x14ac:dyDescent="0.3">
      <c r="A537">
        <v>536</v>
      </c>
      <c r="B537" t="s">
        <v>22</v>
      </c>
      <c r="C537" s="1">
        <v>45870</v>
      </c>
      <c r="D537" t="s">
        <v>27</v>
      </c>
      <c r="E537" t="s">
        <v>31</v>
      </c>
      <c r="F537" s="2" t="s">
        <v>36</v>
      </c>
      <c r="G537" t="str">
        <f t="shared" si="58"/>
        <v>Eden Juicy Apple 01-UK</v>
      </c>
      <c r="H537">
        <f t="shared" si="59"/>
        <v>780</v>
      </c>
      <c r="I537">
        <f>VLOOKUP(G537,Table4[[SKU-COUNTRY2]:[Price in USD]],2,FALSE)</f>
        <v>101.6</v>
      </c>
      <c r="J537">
        <f>VLOOKUP(G537,Sheet3!$C$82:$I$100,MATCH(E537,Sheet3!C$82:H$82,0),FALSE) * VLOOKUP(C537,Table8[],2,0)</f>
        <v>79200</v>
      </c>
      <c r="K537">
        <f>ROUND(J537*VLOOKUP(F537,Sheet3!$A$106:$C$111,2,FALSE),0)</f>
        <v>24552</v>
      </c>
      <c r="L537">
        <f t="shared" si="56"/>
        <v>54648</v>
      </c>
      <c r="M537">
        <f t="shared" si="57"/>
        <v>69</v>
      </c>
      <c r="N537" t="str">
        <f t="shared" si="60"/>
        <v>No</v>
      </c>
      <c r="O537">
        <f t="shared" si="61"/>
        <v>0</v>
      </c>
      <c r="P537" t="str">
        <f t="shared" si="62"/>
        <v>None</v>
      </c>
      <c r="Q537" t="s">
        <v>124</v>
      </c>
    </row>
    <row r="538" spans="1:17" x14ac:dyDescent="0.3">
      <c r="A538">
        <v>537</v>
      </c>
      <c r="B538" t="s">
        <v>22</v>
      </c>
      <c r="C538" s="1">
        <v>45870</v>
      </c>
      <c r="D538" t="s">
        <v>27</v>
      </c>
      <c r="E538" t="s">
        <v>31</v>
      </c>
      <c r="F538" s="2" t="s">
        <v>37</v>
      </c>
      <c r="G538" t="str">
        <f t="shared" si="58"/>
        <v>Oudgasm Tobacco Oud 04-UK</v>
      </c>
      <c r="H538">
        <f t="shared" si="59"/>
        <v>429</v>
      </c>
      <c r="I538">
        <f>VLOOKUP(G538,Table4[[SKU-COUNTRY2]:[Price in USD]],2,FALSE)</f>
        <v>151.13</v>
      </c>
      <c r="J538">
        <f>VLOOKUP(G538,Sheet3!$C$82:$I$100,MATCH(E538,Sheet3!C$82:H$82,0),FALSE) * VLOOKUP(C538,Table8[],2,0)</f>
        <v>64800</v>
      </c>
      <c r="K538">
        <f>ROUND(J538*VLOOKUP(F538,Sheet3!$A$106:$C$111,2,FALSE),0)</f>
        <v>22680</v>
      </c>
      <c r="L538">
        <f t="shared" si="56"/>
        <v>42120</v>
      </c>
      <c r="M538">
        <f t="shared" si="57"/>
        <v>65</v>
      </c>
      <c r="N538" t="str">
        <f t="shared" si="60"/>
        <v>No</v>
      </c>
      <c r="O538">
        <f t="shared" si="61"/>
        <v>0</v>
      </c>
      <c r="P538" t="str">
        <f t="shared" si="62"/>
        <v>None</v>
      </c>
      <c r="Q538" t="s">
        <v>124</v>
      </c>
    </row>
    <row r="539" spans="1:17" x14ac:dyDescent="0.3">
      <c r="A539">
        <v>538</v>
      </c>
      <c r="B539" t="s">
        <v>22</v>
      </c>
      <c r="C539" s="1">
        <v>45870</v>
      </c>
      <c r="D539" t="s">
        <v>27</v>
      </c>
      <c r="E539" t="s">
        <v>31</v>
      </c>
      <c r="F539" s="2" t="s">
        <v>38</v>
      </c>
      <c r="G539" t="str">
        <f t="shared" si="58"/>
        <v>Yum Pistachio Gelato 33-UK</v>
      </c>
      <c r="H539">
        <f t="shared" si="59"/>
        <v>461</v>
      </c>
      <c r="I539">
        <f>VLOOKUP(G539,Table4[[SKU-COUNTRY2]:[Price in USD]],2,FALSE)</f>
        <v>101.6</v>
      </c>
      <c r="J539">
        <f>VLOOKUP(G539,Sheet3!$C$82:$I$100,MATCH(E539,Sheet3!C$82:H$82,0),FALSE) * VLOOKUP(C539,Table8[],2,0)</f>
        <v>46800</v>
      </c>
      <c r="K539">
        <f>ROUND(J539*VLOOKUP(F539,Sheet3!$A$106:$C$111,2,FALSE),0)</f>
        <v>14508</v>
      </c>
      <c r="L539">
        <f t="shared" si="56"/>
        <v>32292</v>
      </c>
      <c r="M539">
        <f t="shared" si="57"/>
        <v>69</v>
      </c>
      <c r="N539" t="str">
        <f t="shared" si="60"/>
        <v>No</v>
      </c>
      <c r="O539">
        <f t="shared" si="61"/>
        <v>0</v>
      </c>
      <c r="P539" t="str">
        <f t="shared" si="62"/>
        <v>None</v>
      </c>
      <c r="Q539" t="s">
        <v>124</v>
      </c>
    </row>
    <row r="540" spans="1:17" x14ac:dyDescent="0.3">
      <c r="A540">
        <v>539</v>
      </c>
      <c r="B540" t="s">
        <v>22</v>
      </c>
      <c r="C540" s="1">
        <v>45870</v>
      </c>
      <c r="D540" t="s">
        <v>27</v>
      </c>
      <c r="E540" t="s">
        <v>31</v>
      </c>
      <c r="F540" s="2" t="s">
        <v>39</v>
      </c>
      <c r="G540" t="str">
        <f t="shared" si="58"/>
        <v>Freedom Musk Santal 34-UK</v>
      </c>
      <c r="H540">
        <f t="shared" si="59"/>
        <v>354</v>
      </c>
      <c r="I540">
        <f>VLOOKUP(G540,Table4[[SKU-COUNTRY2]:[Price in USD]],2,FALSE)</f>
        <v>101.6</v>
      </c>
      <c r="J540">
        <f>VLOOKUP(G540,Sheet3!$C$82:$I$100,MATCH(E540,Sheet3!C$82:H$82,0),FALSE) * VLOOKUP(C540,Table8[],2,0)</f>
        <v>36000</v>
      </c>
      <c r="K540">
        <f>ROUND(J540*VLOOKUP(F540,Sheet3!$A$106:$C$111,2,FALSE),0)</f>
        <v>11520</v>
      </c>
      <c r="L540">
        <f t="shared" si="56"/>
        <v>24480</v>
      </c>
      <c r="M540">
        <f t="shared" si="57"/>
        <v>68</v>
      </c>
      <c r="N540" t="str">
        <f t="shared" si="60"/>
        <v>No</v>
      </c>
      <c r="O540">
        <f t="shared" si="61"/>
        <v>0</v>
      </c>
      <c r="P540" t="str">
        <f t="shared" si="62"/>
        <v>None</v>
      </c>
      <c r="Q540" t="s">
        <v>124</v>
      </c>
    </row>
    <row r="541" spans="1:17" x14ac:dyDescent="0.3">
      <c r="A541">
        <v>540</v>
      </c>
      <c r="B541" t="s">
        <v>22</v>
      </c>
      <c r="C541" s="1">
        <v>45870</v>
      </c>
      <c r="D541" t="s">
        <v>27</v>
      </c>
      <c r="E541" t="s">
        <v>31</v>
      </c>
      <c r="F541" s="2" t="s">
        <v>40</v>
      </c>
      <c r="G541" t="str">
        <f t="shared" si="58"/>
        <v>Musk 12-UK</v>
      </c>
      <c r="H541">
        <f t="shared" si="59"/>
        <v>248</v>
      </c>
      <c r="I541">
        <f>VLOOKUP(G541,Table4[[SKU-COUNTRY2]:[Price in USD]],2,FALSE)</f>
        <v>101.6</v>
      </c>
      <c r="J541">
        <f>VLOOKUP(G541,Sheet3!$C$82:$I$100,MATCH(E541,Sheet3!C$82:H$82,0),FALSE) * VLOOKUP(C541,Table8[],2,0)</f>
        <v>25200.000000000004</v>
      </c>
      <c r="K541">
        <f>ROUND(J541*VLOOKUP(F541,Sheet3!$A$106:$C$111,2,FALSE),0)</f>
        <v>7560</v>
      </c>
      <c r="L541">
        <f t="shared" si="56"/>
        <v>17640.000000000004</v>
      </c>
      <c r="M541">
        <f t="shared" si="57"/>
        <v>70</v>
      </c>
      <c r="N541" t="str">
        <f t="shared" si="60"/>
        <v>No</v>
      </c>
      <c r="O541">
        <f t="shared" si="61"/>
        <v>0</v>
      </c>
      <c r="P541" t="str">
        <f t="shared" si="62"/>
        <v>None</v>
      </c>
      <c r="Q541" t="s">
        <v>124</v>
      </c>
    </row>
    <row r="542" spans="1:17" x14ac:dyDescent="0.3">
      <c r="A542">
        <v>541</v>
      </c>
      <c r="B542" t="s">
        <v>22</v>
      </c>
      <c r="C542" s="1">
        <v>45870</v>
      </c>
      <c r="D542" t="s">
        <v>27</v>
      </c>
      <c r="E542" t="s">
        <v>33</v>
      </c>
      <c r="F542" s="2" t="s">
        <v>35</v>
      </c>
      <c r="G542" t="str">
        <f t="shared" si="58"/>
        <v>Vanilla 28-UK</v>
      </c>
      <c r="H542">
        <f t="shared" si="59"/>
        <v>797</v>
      </c>
      <c r="I542">
        <f>VLOOKUP(G542,Table4[[SKU-COUNTRY2]:[Price in USD]],2,FALSE)</f>
        <v>101.6</v>
      </c>
      <c r="J542">
        <f>VLOOKUP(G542,Sheet3!$C$82:$I$100,MATCH(E542,Sheet3!C$82:H$82,0),FALSE) * VLOOKUP(C542,Table8[],2,0)</f>
        <v>81000</v>
      </c>
      <c r="K542">
        <f>ROUND(J542*VLOOKUP(F542,Sheet3!$A$106:$C$111,2,FALSE),0)</f>
        <v>24300</v>
      </c>
      <c r="L542">
        <f t="shared" si="56"/>
        <v>56700</v>
      </c>
      <c r="M542">
        <f t="shared" si="57"/>
        <v>70</v>
      </c>
      <c r="N542" t="str">
        <f t="shared" si="60"/>
        <v>No</v>
      </c>
      <c r="O542">
        <f t="shared" si="61"/>
        <v>0</v>
      </c>
      <c r="P542" t="str">
        <f t="shared" si="62"/>
        <v>None</v>
      </c>
      <c r="Q542" t="s">
        <v>124</v>
      </c>
    </row>
    <row r="543" spans="1:17" x14ac:dyDescent="0.3">
      <c r="A543">
        <v>542</v>
      </c>
      <c r="B543" t="s">
        <v>22</v>
      </c>
      <c r="C543" s="1">
        <v>45870</v>
      </c>
      <c r="D543" t="s">
        <v>27</v>
      </c>
      <c r="E543" t="s">
        <v>33</v>
      </c>
      <c r="F543" s="2" t="s">
        <v>36</v>
      </c>
      <c r="G543" t="str">
        <f t="shared" si="58"/>
        <v>Eden Juicy Apple 01-UK</v>
      </c>
      <c r="H543">
        <f t="shared" si="59"/>
        <v>585</v>
      </c>
      <c r="I543">
        <f>VLOOKUP(G543,Table4[[SKU-COUNTRY2]:[Price in USD]],2,FALSE)</f>
        <v>101.6</v>
      </c>
      <c r="J543">
        <f>VLOOKUP(G543,Sheet3!$C$82:$I$100,MATCH(E543,Sheet3!C$82:H$82,0),FALSE) * VLOOKUP(C543,Table8[],2,0)</f>
        <v>59400</v>
      </c>
      <c r="K543">
        <f>ROUND(J543*VLOOKUP(F543,Sheet3!$A$106:$C$111,2,FALSE),0)</f>
        <v>18414</v>
      </c>
      <c r="L543">
        <f t="shared" si="56"/>
        <v>40986</v>
      </c>
      <c r="M543">
        <f t="shared" si="57"/>
        <v>69</v>
      </c>
      <c r="N543" t="str">
        <f t="shared" si="60"/>
        <v>No</v>
      </c>
      <c r="O543">
        <f t="shared" si="61"/>
        <v>0</v>
      </c>
      <c r="P543" t="str">
        <f t="shared" si="62"/>
        <v>None</v>
      </c>
      <c r="Q543" t="s">
        <v>124</v>
      </c>
    </row>
    <row r="544" spans="1:17" x14ac:dyDescent="0.3">
      <c r="A544">
        <v>543</v>
      </c>
      <c r="B544" t="s">
        <v>22</v>
      </c>
      <c r="C544" s="1">
        <v>45870</v>
      </c>
      <c r="D544" t="s">
        <v>27</v>
      </c>
      <c r="E544" t="s">
        <v>33</v>
      </c>
      <c r="F544" s="2" t="s">
        <v>37</v>
      </c>
      <c r="G544" t="str">
        <f t="shared" si="58"/>
        <v>Oudgasm Tobacco Oud 04-UK</v>
      </c>
      <c r="H544">
        <f t="shared" si="59"/>
        <v>322</v>
      </c>
      <c r="I544">
        <f>VLOOKUP(G544,Table4[[SKU-COUNTRY2]:[Price in USD]],2,FALSE)</f>
        <v>151.13</v>
      </c>
      <c r="J544">
        <f>VLOOKUP(G544,Sheet3!$C$82:$I$100,MATCH(E544,Sheet3!C$82:H$82,0),FALSE) * VLOOKUP(C544,Table8[],2,0)</f>
        <v>48600</v>
      </c>
      <c r="K544">
        <f>ROUND(J544*VLOOKUP(F544,Sheet3!$A$106:$C$111,2,FALSE),0)</f>
        <v>17010</v>
      </c>
      <c r="L544">
        <f t="shared" si="56"/>
        <v>31590</v>
      </c>
      <c r="M544">
        <f t="shared" si="57"/>
        <v>65</v>
      </c>
      <c r="N544" t="str">
        <f t="shared" si="60"/>
        <v>No</v>
      </c>
      <c r="O544">
        <f t="shared" si="61"/>
        <v>0</v>
      </c>
      <c r="P544" t="str">
        <f t="shared" si="62"/>
        <v>None</v>
      </c>
      <c r="Q544" t="s">
        <v>124</v>
      </c>
    </row>
    <row r="545" spans="1:17" x14ac:dyDescent="0.3">
      <c r="A545">
        <v>544</v>
      </c>
      <c r="B545" t="s">
        <v>22</v>
      </c>
      <c r="C545" s="1">
        <v>45870</v>
      </c>
      <c r="D545" t="s">
        <v>27</v>
      </c>
      <c r="E545" t="s">
        <v>33</v>
      </c>
      <c r="F545" s="2" t="s">
        <v>38</v>
      </c>
      <c r="G545" t="str">
        <f t="shared" si="58"/>
        <v>Yum Pistachio Gelato 33-UK</v>
      </c>
      <c r="H545">
        <f t="shared" si="59"/>
        <v>345</v>
      </c>
      <c r="I545">
        <f>VLOOKUP(G545,Table4[[SKU-COUNTRY2]:[Price in USD]],2,FALSE)</f>
        <v>101.6</v>
      </c>
      <c r="J545">
        <f>VLOOKUP(G545,Sheet3!$C$82:$I$100,MATCH(E545,Sheet3!C$82:H$82,0),FALSE) * VLOOKUP(C545,Table8[],2,0)</f>
        <v>35100</v>
      </c>
      <c r="K545">
        <f>ROUND(J545*VLOOKUP(F545,Sheet3!$A$106:$C$111,2,FALSE),0)</f>
        <v>10881</v>
      </c>
      <c r="L545">
        <f t="shared" si="56"/>
        <v>24219</v>
      </c>
      <c r="M545">
        <f t="shared" si="57"/>
        <v>69</v>
      </c>
      <c r="N545" t="str">
        <f t="shared" si="60"/>
        <v>No</v>
      </c>
      <c r="O545">
        <f t="shared" si="61"/>
        <v>0</v>
      </c>
      <c r="P545" t="str">
        <f t="shared" si="62"/>
        <v>None</v>
      </c>
      <c r="Q545" t="s">
        <v>124</v>
      </c>
    </row>
    <row r="546" spans="1:17" x14ac:dyDescent="0.3">
      <c r="A546">
        <v>545</v>
      </c>
      <c r="B546" t="s">
        <v>22</v>
      </c>
      <c r="C546" s="1">
        <v>45870</v>
      </c>
      <c r="D546" t="s">
        <v>27</v>
      </c>
      <c r="E546" t="s">
        <v>33</v>
      </c>
      <c r="F546" s="2" t="s">
        <v>39</v>
      </c>
      <c r="G546" t="str">
        <f t="shared" si="58"/>
        <v>Freedom Musk Santal 34-UK</v>
      </c>
      <c r="H546">
        <f t="shared" si="59"/>
        <v>266</v>
      </c>
      <c r="I546">
        <f>VLOOKUP(G546,Table4[[SKU-COUNTRY2]:[Price in USD]],2,FALSE)</f>
        <v>101.6</v>
      </c>
      <c r="J546">
        <f>VLOOKUP(G546,Sheet3!$C$82:$I$100,MATCH(E546,Sheet3!C$82:H$82,0),FALSE) * VLOOKUP(C546,Table8[],2,0)</f>
        <v>27000</v>
      </c>
      <c r="K546">
        <f>ROUND(J546*VLOOKUP(F546,Sheet3!$A$106:$C$111,2,FALSE),0)</f>
        <v>8640</v>
      </c>
      <c r="L546">
        <f t="shared" si="56"/>
        <v>18360</v>
      </c>
      <c r="M546">
        <f t="shared" si="57"/>
        <v>68</v>
      </c>
      <c r="N546" t="str">
        <f t="shared" si="60"/>
        <v>No</v>
      </c>
      <c r="O546">
        <f t="shared" si="61"/>
        <v>0</v>
      </c>
      <c r="P546" t="str">
        <f t="shared" si="62"/>
        <v>None</v>
      </c>
      <c r="Q546" t="s">
        <v>124</v>
      </c>
    </row>
    <row r="547" spans="1:17" x14ac:dyDescent="0.3">
      <c r="A547">
        <v>546</v>
      </c>
      <c r="B547" t="s">
        <v>22</v>
      </c>
      <c r="C547" s="1">
        <v>45870</v>
      </c>
      <c r="D547" t="s">
        <v>27</v>
      </c>
      <c r="E547" t="s">
        <v>33</v>
      </c>
      <c r="F547" s="2" t="s">
        <v>40</v>
      </c>
      <c r="G547" t="str">
        <f t="shared" si="58"/>
        <v>Musk 12-UK</v>
      </c>
      <c r="H547">
        <f t="shared" si="59"/>
        <v>186</v>
      </c>
      <c r="I547">
        <f>VLOOKUP(G547,Table4[[SKU-COUNTRY2]:[Price in USD]],2,FALSE)</f>
        <v>101.6</v>
      </c>
      <c r="J547">
        <f>VLOOKUP(G547,Sheet3!$C$82:$I$100,MATCH(E547,Sheet3!C$82:H$82,0),FALSE) * VLOOKUP(C547,Table8[],2,0)</f>
        <v>18900.000000000004</v>
      </c>
      <c r="K547">
        <f>ROUND(J547*VLOOKUP(F547,Sheet3!$A$106:$C$111,2,FALSE),0)</f>
        <v>5670</v>
      </c>
      <c r="L547">
        <f t="shared" si="56"/>
        <v>13230.000000000004</v>
      </c>
      <c r="M547">
        <f t="shared" si="57"/>
        <v>70</v>
      </c>
      <c r="N547" t="str">
        <f t="shared" si="60"/>
        <v>No</v>
      </c>
      <c r="O547">
        <f t="shared" si="61"/>
        <v>0</v>
      </c>
      <c r="P547" t="str">
        <f t="shared" si="62"/>
        <v>None</v>
      </c>
      <c r="Q547" t="s">
        <v>124</v>
      </c>
    </row>
    <row r="548" spans="1:17" x14ac:dyDescent="0.3">
      <c r="A548">
        <v>547</v>
      </c>
      <c r="B548" t="s">
        <v>22</v>
      </c>
      <c r="C548" s="1">
        <v>45870</v>
      </c>
      <c r="D548" t="s">
        <v>27</v>
      </c>
      <c r="E548" t="s">
        <v>34</v>
      </c>
      <c r="F548" s="2" t="s">
        <v>35</v>
      </c>
      <c r="G548" t="str">
        <f t="shared" si="58"/>
        <v>Vanilla 28-UK</v>
      </c>
      <c r="H548">
        <f t="shared" si="59"/>
        <v>1329</v>
      </c>
      <c r="I548">
        <f>VLOOKUP(G548,Table4[[SKU-COUNTRY2]:[Price in USD]],2,FALSE)</f>
        <v>101.6</v>
      </c>
      <c r="J548">
        <f>VLOOKUP(G548,Sheet3!$C$82:$I$100,MATCH(E548,Sheet3!C$82:H$82,0),FALSE) * VLOOKUP(C548,Table8[],2,0)</f>
        <v>135000</v>
      </c>
      <c r="K548">
        <f>ROUND(J548*VLOOKUP(F548,Sheet3!$A$106:$C$111,2,FALSE),0)</f>
        <v>40500</v>
      </c>
      <c r="L548">
        <f t="shared" si="56"/>
        <v>94500</v>
      </c>
      <c r="M548">
        <f t="shared" si="57"/>
        <v>70</v>
      </c>
      <c r="N548" t="str">
        <f t="shared" si="60"/>
        <v>No</v>
      </c>
      <c r="O548">
        <f t="shared" si="61"/>
        <v>0</v>
      </c>
      <c r="P548" t="str">
        <f t="shared" si="62"/>
        <v>None</v>
      </c>
      <c r="Q548" t="s">
        <v>124</v>
      </c>
    </row>
    <row r="549" spans="1:17" x14ac:dyDescent="0.3">
      <c r="A549">
        <v>548</v>
      </c>
      <c r="B549" t="s">
        <v>22</v>
      </c>
      <c r="C549" s="1">
        <v>45870</v>
      </c>
      <c r="D549" t="s">
        <v>27</v>
      </c>
      <c r="E549" t="s">
        <v>34</v>
      </c>
      <c r="F549" s="2" t="s">
        <v>36</v>
      </c>
      <c r="G549" t="str">
        <f t="shared" si="58"/>
        <v>Eden Juicy Apple 01-UK</v>
      </c>
      <c r="H549">
        <f t="shared" si="59"/>
        <v>974</v>
      </c>
      <c r="I549">
        <f>VLOOKUP(G549,Table4[[SKU-COUNTRY2]:[Price in USD]],2,FALSE)</f>
        <v>101.6</v>
      </c>
      <c r="J549">
        <f>VLOOKUP(G549,Sheet3!$C$82:$I$100,MATCH(E549,Sheet3!C$82:H$82,0),FALSE) * VLOOKUP(C549,Table8[],2,0)</f>
        <v>99000</v>
      </c>
      <c r="K549">
        <f>ROUND(J549*VLOOKUP(F549,Sheet3!$A$106:$C$111,2,FALSE),0)</f>
        <v>30690</v>
      </c>
      <c r="L549">
        <f t="shared" si="56"/>
        <v>68310</v>
      </c>
      <c r="M549">
        <f t="shared" si="57"/>
        <v>69</v>
      </c>
      <c r="N549" t="str">
        <f t="shared" si="60"/>
        <v>No</v>
      </c>
      <c r="O549">
        <f t="shared" si="61"/>
        <v>0</v>
      </c>
      <c r="P549" t="str">
        <f t="shared" si="62"/>
        <v>None</v>
      </c>
      <c r="Q549" t="s">
        <v>124</v>
      </c>
    </row>
    <row r="550" spans="1:17" x14ac:dyDescent="0.3">
      <c r="A550">
        <v>549</v>
      </c>
      <c r="B550" t="s">
        <v>22</v>
      </c>
      <c r="C550" s="1">
        <v>45870</v>
      </c>
      <c r="D550" t="s">
        <v>27</v>
      </c>
      <c r="E550" t="s">
        <v>34</v>
      </c>
      <c r="F550" s="2" t="s">
        <v>37</v>
      </c>
      <c r="G550" t="str">
        <f t="shared" si="58"/>
        <v>Oudgasm Tobacco Oud 04-UK</v>
      </c>
      <c r="H550">
        <f t="shared" si="59"/>
        <v>536</v>
      </c>
      <c r="I550">
        <f>VLOOKUP(G550,Table4[[SKU-COUNTRY2]:[Price in USD]],2,FALSE)</f>
        <v>151.13</v>
      </c>
      <c r="J550">
        <f>VLOOKUP(G550,Sheet3!$C$82:$I$100,MATCH(E550,Sheet3!C$82:H$82,0),FALSE) * VLOOKUP(C550,Table8[],2,0)</f>
        <v>81000</v>
      </c>
      <c r="K550">
        <f>ROUND(J550*VLOOKUP(F550,Sheet3!$A$106:$C$111,2,FALSE),0)</f>
        <v>28350</v>
      </c>
      <c r="L550">
        <f t="shared" si="56"/>
        <v>52650</v>
      </c>
      <c r="M550">
        <f t="shared" si="57"/>
        <v>65</v>
      </c>
      <c r="N550" t="str">
        <f t="shared" si="60"/>
        <v>No</v>
      </c>
      <c r="O550">
        <f t="shared" si="61"/>
        <v>0</v>
      </c>
      <c r="P550" t="str">
        <f t="shared" si="62"/>
        <v>None</v>
      </c>
      <c r="Q550" t="s">
        <v>124</v>
      </c>
    </row>
    <row r="551" spans="1:17" x14ac:dyDescent="0.3">
      <c r="A551">
        <v>550</v>
      </c>
      <c r="B551" t="s">
        <v>22</v>
      </c>
      <c r="C551" s="1">
        <v>45870</v>
      </c>
      <c r="D551" t="s">
        <v>27</v>
      </c>
      <c r="E551" t="s">
        <v>34</v>
      </c>
      <c r="F551" s="2" t="s">
        <v>38</v>
      </c>
      <c r="G551" t="str">
        <f t="shared" si="58"/>
        <v>Yum Pistachio Gelato 33-UK</v>
      </c>
      <c r="H551">
        <f t="shared" si="59"/>
        <v>576</v>
      </c>
      <c r="I551">
        <f>VLOOKUP(G551,Table4[[SKU-COUNTRY2]:[Price in USD]],2,FALSE)</f>
        <v>101.6</v>
      </c>
      <c r="J551">
        <f>VLOOKUP(G551,Sheet3!$C$82:$I$100,MATCH(E551,Sheet3!C$82:H$82,0),FALSE) * VLOOKUP(C551,Table8[],2,0)</f>
        <v>58500</v>
      </c>
      <c r="K551">
        <f>ROUND(J551*VLOOKUP(F551,Sheet3!$A$106:$C$111,2,FALSE),0)</f>
        <v>18135</v>
      </c>
      <c r="L551">
        <f t="shared" si="56"/>
        <v>40365</v>
      </c>
      <c r="M551">
        <f t="shared" si="57"/>
        <v>69</v>
      </c>
      <c r="N551" t="str">
        <f t="shared" si="60"/>
        <v>No</v>
      </c>
      <c r="O551">
        <f t="shared" si="61"/>
        <v>0</v>
      </c>
      <c r="P551" t="str">
        <f t="shared" si="62"/>
        <v>None</v>
      </c>
      <c r="Q551" t="s">
        <v>124</v>
      </c>
    </row>
    <row r="552" spans="1:17" x14ac:dyDescent="0.3">
      <c r="A552">
        <v>551</v>
      </c>
      <c r="B552" t="s">
        <v>22</v>
      </c>
      <c r="C552" s="1">
        <v>45870</v>
      </c>
      <c r="D552" t="s">
        <v>27</v>
      </c>
      <c r="E552" t="s">
        <v>34</v>
      </c>
      <c r="F552" s="2" t="s">
        <v>39</v>
      </c>
      <c r="G552" t="str">
        <f t="shared" si="58"/>
        <v>Freedom Musk Santal 34-UK</v>
      </c>
      <c r="H552">
        <f t="shared" si="59"/>
        <v>443</v>
      </c>
      <c r="I552">
        <f>VLOOKUP(G552,Table4[[SKU-COUNTRY2]:[Price in USD]],2,FALSE)</f>
        <v>101.6</v>
      </c>
      <c r="J552">
        <f>VLOOKUP(G552,Sheet3!$C$82:$I$100,MATCH(E552,Sheet3!C$82:H$82,0),FALSE) * VLOOKUP(C552,Table8[],2,0)</f>
        <v>45000</v>
      </c>
      <c r="K552">
        <f>ROUND(J552*VLOOKUP(F552,Sheet3!$A$106:$C$111,2,FALSE),0)</f>
        <v>14400</v>
      </c>
      <c r="L552">
        <f t="shared" si="56"/>
        <v>30600</v>
      </c>
      <c r="M552">
        <f t="shared" si="57"/>
        <v>68</v>
      </c>
      <c r="N552" t="str">
        <f t="shared" si="60"/>
        <v>No</v>
      </c>
      <c r="O552">
        <f t="shared" si="61"/>
        <v>0</v>
      </c>
      <c r="P552" t="str">
        <f t="shared" si="62"/>
        <v>None</v>
      </c>
      <c r="Q552" t="s">
        <v>124</v>
      </c>
    </row>
    <row r="553" spans="1:17" x14ac:dyDescent="0.3">
      <c r="A553">
        <v>552</v>
      </c>
      <c r="B553" t="s">
        <v>22</v>
      </c>
      <c r="C553" s="1">
        <v>45870</v>
      </c>
      <c r="D553" t="s">
        <v>27</v>
      </c>
      <c r="E553" t="s">
        <v>34</v>
      </c>
      <c r="F553" s="2" t="s">
        <v>40</v>
      </c>
      <c r="G553" t="str">
        <f t="shared" si="58"/>
        <v>Musk 12-UK</v>
      </c>
      <c r="H553">
        <f t="shared" si="59"/>
        <v>310</v>
      </c>
      <c r="I553">
        <f>VLOOKUP(G553,Table4[[SKU-COUNTRY2]:[Price in USD]],2,FALSE)</f>
        <v>101.6</v>
      </c>
      <c r="J553">
        <f>VLOOKUP(G553,Sheet3!$C$82:$I$100,MATCH(E553,Sheet3!C$82:H$82,0),FALSE) * VLOOKUP(C553,Table8[],2,0)</f>
        <v>31500</v>
      </c>
      <c r="K553">
        <f>ROUND(J553*VLOOKUP(F553,Sheet3!$A$106:$C$111,2,FALSE),0)</f>
        <v>9450</v>
      </c>
      <c r="L553">
        <f t="shared" si="56"/>
        <v>22050</v>
      </c>
      <c r="M553">
        <f t="shared" si="57"/>
        <v>70</v>
      </c>
      <c r="N553" t="str">
        <f t="shared" si="60"/>
        <v>No</v>
      </c>
      <c r="O553">
        <f t="shared" si="61"/>
        <v>0</v>
      </c>
      <c r="P553" t="str">
        <f t="shared" si="62"/>
        <v>None</v>
      </c>
      <c r="Q553" t="s">
        <v>124</v>
      </c>
    </row>
    <row r="554" spans="1:17" x14ac:dyDescent="0.3">
      <c r="A554">
        <v>553</v>
      </c>
      <c r="B554" t="s">
        <v>22</v>
      </c>
      <c r="C554" s="1">
        <v>45870</v>
      </c>
      <c r="D554" t="s">
        <v>29</v>
      </c>
      <c r="E554" t="s">
        <v>32</v>
      </c>
      <c r="F554" s="2" t="s">
        <v>35</v>
      </c>
      <c r="G554" t="str">
        <f t="shared" si="58"/>
        <v>Vanilla 28-UAE</v>
      </c>
      <c r="H554">
        <f t="shared" si="59"/>
        <v>1786</v>
      </c>
      <c r="I554">
        <f>VLOOKUP(G554,Table4[[SKU-COUNTRY2]:[Price in USD]],2,FALSE)</f>
        <v>113.4</v>
      </c>
      <c r="J554">
        <f>VLOOKUP(G554,Sheet3!$C$82:$I$100,MATCH(E554,Sheet3!C$82:H$82,0),FALSE) * VLOOKUP(C554,Table8[],2,0)</f>
        <v>202500</v>
      </c>
      <c r="K554">
        <f>ROUND(J554*VLOOKUP(F554,Sheet3!$A$106:$C$111,2,FALSE),0)</f>
        <v>60750</v>
      </c>
      <c r="L554">
        <f t="shared" si="56"/>
        <v>141750</v>
      </c>
      <c r="M554">
        <f t="shared" si="57"/>
        <v>70</v>
      </c>
      <c r="N554" t="str">
        <f t="shared" si="60"/>
        <v>No</v>
      </c>
      <c r="O554">
        <f t="shared" si="61"/>
        <v>0</v>
      </c>
      <c r="P554" t="str">
        <f t="shared" si="62"/>
        <v>None</v>
      </c>
      <c r="Q554" t="s">
        <v>124</v>
      </c>
    </row>
    <row r="555" spans="1:17" x14ac:dyDescent="0.3">
      <c r="A555">
        <v>554</v>
      </c>
      <c r="B555" t="s">
        <v>22</v>
      </c>
      <c r="C555" s="1">
        <v>45870</v>
      </c>
      <c r="D555" t="s">
        <v>29</v>
      </c>
      <c r="E555" t="s">
        <v>32</v>
      </c>
      <c r="F555" s="2" t="s">
        <v>36</v>
      </c>
      <c r="G555" t="str">
        <f t="shared" si="58"/>
        <v>Eden Juicy Apple 01-UAE</v>
      </c>
      <c r="H555">
        <f t="shared" si="59"/>
        <v>1339</v>
      </c>
      <c r="I555">
        <f>VLOOKUP(G555,Table4[[SKU-COUNTRY2]:[Price in USD]],2,FALSE)</f>
        <v>113.4</v>
      </c>
      <c r="J555">
        <f>VLOOKUP(G555,Sheet3!$C$82:$I$100,MATCH(E555,Sheet3!C$82:H$82,0),FALSE) * VLOOKUP(C555,Table8[],2,0)</f>
        <v>151875</v>
      </c>
      <c r="K555">
        <f>ROUND(J555*VLOOKUP(F555,Sheet3!$A$106:$C$111,2,FALSE),0)</f>
        <v>47081</v>
      </c>
      <c r="L555">
        <f t="shared" si="56"/>
        <v>104794</v>
      </c>
      <c r="M555">
        <f t="shared" si="57"/>
        <v>69</v>
      </c>
      <c r="N555" t="str">
        <f t="shared" si="60"/>
        <v>No</v>
      </c>
      <c r="O555">
        <f t="shared" si="61"/>
        <v>0</v>
      </c>
      <c r="P555" t="str">
        <f t="shared" si="62"/>
        <v>None</v>
      </c>
      <c r="Q555" t="s">
        <v>124</v>
      </c>
    </row>
    <row r="556" spans="1:17" x14ac:dyDescent="0.3">
      <c r="A556">
        <v>555</v>
      </c>
      <c r="B556" t="s">
        <v>22</v>
      </c>
      <c r="C556" s="1">
        <v>45870</v>
      </c>
      <c r="D556" t="s">
        <v>29</v>
      </c>
      <c r="E556" t="s">
        <v>32</v>
      </c>
      <c r="F556" s="2" t="s">
        <v>37</v>
      </c>
      <c r="G556" t="str">
        <f t="shared" si="58"/>
        <v>Oudgasm Tobacco Oud 04-UAE</v>
      </c>
      <c r="H556">
        <f t="shared" si="59"/>
        <v>2382</v>
      </c>
      <c r="I556">
        <f>VLOOKUP(G556,Table4[[SKU-COUNTRY2]:[Price in USD]],2,FALSE)</f>
        <v>148.77000000000001</v>
      </c>
      <c r="J556">
        <f>VLOOKUP(G556,Sheet3!$C$82:$I$100,MATCH(E556,Sheet3!C$82:H$82,0),FALSE) * VLOOKUP(C556,Table8[],2,0)</f>
        <v>354375</v>
      </c>
      <c r="K556">
        <f>ROUND(J556*VLOOKUP(F556,Sheet3!$A$106:$C$111,2,FALSE),0)</f>
        <v>124031</v>
      </c>
      <c r="L556">
        <f t="shared" si="56"/>
        <v>230344</v>
      </c>
      <c r="M556">
        <f t="shared" si="57"/>
        <v>65</v>
      </c>
      <c r="N556" t="str">
        <f t="shared" si="60"/>
        <v>No</v>
      </c>
      <c r="O556">
        <f t="shared" si="61"/>
        <v>0</v>
      </c>
      <c r="P556" t="str">
        <f t="shared" si="62"/>
        <v>None</v>
      </c>
      <c r="Q556" t="s">
        <v>124</v>
      </c>
    </row>
    <row r="557" spans="1:17" x14ac:dyDescent="0.3">
      <c r="A557">
        <v>556</v>
      </c>
      <c r="B557" t="s">
        <v>22</v>
      </c>
      <c r="C557" s="1">
        <v>45870</v>
      </c>
      <c r="D557" t="s">
        <v>29</v>
      </c>
      <c r="E557" t="s">
        <v>32</v>
      </c>
      <c r="F557" s="2" t="s">
        <v>38</v>
      </c>
      <c r="G557" t="str">
        <f t="shared" si="58"/>
        <v>Yum Pistachio Gelato 33-UAE</v>
      </c>
      <c r="H557">
        <f t="shared" si="59"/>
        <v>1071</v>
      </c>
      <c r="I557">
        <f>VLOOKUP(G557,Table4[[SKU-COUNTRY2]:[Price in USD]],2,FALSE)</f>
        <v>113.4</v>
      </c>
      <c r="J557">
        <f>VLOOKUP(G557,Sheet3!$C$82:$I$100,MATCH(E557,Sheet3!C$82:H$82,0),FALSE) * VLOOKUP(C557,Table8[],2,0)</f>
        <v>121500</v>
      </c>
      <c r="K557">
        <f>ROUND(J557*VLOOKUP(F557,Sheet3!$A$106:$C$111,2,FALSE),0)</f>
        <v>37665</v>
      </c>
      <c r="L557">
        <f t="shared" si="56"/>
        <v>83835</v>
      </c>
      <c r="M557">
        <f t="shared" si="57"/>
        <v>69</v>
      </c>
      <c r="N557" t="str">
        <f t="shared" si="60"/>
        <v>No</v>
      </c>
      <c r="O557">
        <f t="shared" si="61"/>
        <v>0</v>
      </c>
      <c r="P557" t="str">
        <f t="shared" si="62"/>
        <v>None</v>
      </c>
      <c r="Q557" t="s">
        <v>124</v>
      </c>
    </row>
    <row r="558" spans="1:17" x14ac:dyDescent="0.3">
      <c r="A558">
        <v>557</v>
      </c>
      <c r="B558" t="s">
        <v>22</v>
      </c>
      <c r="C558" s="1">
        <v>45870</v>
      </c>
      <c r="D558" t="s">
        <v>29</v>
      </c>
      <c r="E558" t="s">
        <v>32</v>
      </c>
      <c r="F558" s="2" t="s">
        <v>39</v>
      </c>
      <c r="G558" t="str">
        <f t="shared" si="58"/>
        <v>Freedom Musk Santal 34-UAE</v>
      </c>
      <c r="H558">
        <f t="shared" si="59"/>
        <v>893</v>
      </c>
      <c r="I558">
        <f>VLOOKUP(G558,Table4[[SKU-COUNTRY2]:[Price in USD]],2,FALSE)</f>
        <v>113.4</v>
      </c>
      <c r="J558">
        <f>VLOOKUP(G558,Sheet3!$C$82:$I$100,MATCH(E558,Sheet3!C$82:H$82,0),FALSE) * VLOOKUP(C558,Table8[],2,0)</f>
        <v>101250</v>
      </c>
      <c r="K558">
        <f>ROUND(J558*VLOOKUP(F558,Sheet3!$A$106:$C$111,2,FALSE),0)</f>
        <v>32400</v>
      </c>
      <c r="L558">
        <f t="shared" si="56"/>
        <v>68850</v>
      </c>
      <c r="M558">
        <f t="shared" si="57"/>
        <v>68</v>
      </c>
      <c r="N558" t="str">
        <f t="shared" si="60"/>
        <v>No</v>
      </c>
      <c r="O558">
        <f t="shared" si="61"/>
        <v>0</v>
      </c>
      <c r="P558" t="str">
        <f t="shared" si="62"/>
        <v>None</v>
      </c>
      <c r="Q558" t="s">
        <v>124</v>
      </c>
    </row>
    <row r="559" spans="1:17" x14ac:dyDescent="0.3">
      <c r="A559">
        <v>558</v>
      </c>
      <c r="B559" t="s">
        <v>22</v>
      </c>
      <c r="C559" s="1">
        <v>45870</v>
      </c>
      <c r="D559" t="s">
        <v>29</v>
      </c>
      <c r="E559" t="s">
        <v>32</v>
      </c>
      <c r="F559" s="2" t="s">
        <v>40</v>
      </c>
      <c r="G559" t="str">
        <f t="shared" si="58"/>
        <v>Musk 12-UAE</v>
      </c>
      <c r="H559">
        <f t="shared" si="59"/>
        <v>714</v>
      </c>
      <c r="I559">
        <f>VLOOKUP(G559,Table4[[SKU-COUNTRY2]:[Price in USD]],2,FALSE)</f>
        <v>113.4</v>
      </c>
      <c r="J559">
        <f>VLOOKUP(G559,Sheet3!$C$82:$I$100,MATCH(E559,Sheet3!C$82:H$82,0),FALSE) * VLOOKUP(C559,Table8[],2,0)</f>
        <v>81000</v>
      </c>
      <c r="K559">
        <f>ROUND(J559*VLOOKUP(F559,Sheet3!$A$106:$C$111,2,FALSE),0)</f>
        <v>24300</v>
      </c>
      <c r="L559">
        <f t="shared" si="56"/>
        <v>56700</v>
      </c>
      <c r="M559">
        <f t="shared" si="57"/>
        <v>70</v>
      </c>
      <c r="N559" t="str">
        <f t="shared" si="60"/>
        <v>No</v>
      </c>
      <c r="O559">
        <f t="shared" si="61"/>
        <v>0</v>
      </c>
      <c r="P559" t="str">
        <f t="shared" si="62"/>
        <v>None</v>
      </c>
      <c r="Q559" t="s">
        <v>124</v>
      </c>
    </row>
    <row r="560" spans="1:17" x14ac:dyDescent="0.3">
      <c r="A560">
        <v>559</v>
      </c>
      <c r="B560" t="s">
        <v>22</v>
      </c>
      <c r="C560" s="1">
        <v>45870</v>
      </c>
      <c r="D560" t="s">
        <v>29</v>
      </c>
      <c r="E560" t="s">
        <v>31</v>
      </c>
      <c r="F560" s="2" t="s">
        <v>35</v>
      </c>
      <c r="G560" t="str">
        <f t="shared" si="58"/>
        <v>Vanilla 28-UAE</v>
      </c>
      <c r="H560">
        <f t="shared" si="59"/>
        <v>992</v>
      </c>
      <c r="I560">
        <f>VLOOKUP(G560,Table4[[SKU-COUNTRY2]:[Price in USD]],2,FALSE)</f>
        <v>113.4</v>
      </c>
      <c r="J560">
        <f>VLOOKUP(G560,Sheet3!$C$82:$I$100,MATCH(E560,Sheet3!C$82:H$82,0),FALSE) * VLOOKUP(C560,Table8[],2,0)</f>
        <v>112500</v>
      </c>
      <c r="K560">
        <f>ROUND(J560*VLOOKUP(F560,Sheet3!$A$106:$C$111,2,FALSE),0)</f>
        <v>33750</v>
      </c>
      <c r="L560">
        <f t="shared" si="56"/>
        <v>78750</v>
      </c>
      <c r="M560">
        <f t="shared" si="57"/>
        <v>70</v>
      </c>
      <c r="N560" t="str">
        <f t="shared" si="60"/>
        <v>No</v>
      </c>
      <c r="O560">
        <f t="shared" si="61"/>
        <v>0</v>
      </c>
      <c r="P560" t="str">
        <f t="shared" si="62"/>
        <v>None</v>
      </c>
      <c r="Q560" t="s">
        <v>124</v>
      </c>
    </row>
    <row r="561" spans="1:17" x14ac:dyDescent="0.3">
      <c r="A561">
        <v>560</v>
      </c>
      <c r="B561" t="s">
        <v>22</v>
      </c>
      <c r="C561" s="1">
        <v>45870</v>
      </c>
      <c r="D561" t="s">
        <v>29</v>
      </c>
      <c r="E561" t="s">
        <v>31</v>
      </c>
      <c r="F561" s="2" t="s">
        <v>36</v>
      </c>
      <c r="G561" t="str">
        <f t="shared" si="58"/>
        <v>Eden Juicy Apple 01-UAE</v>
      </c>
      <c r="H561">
        <f t="shared" si="59"/>
        <v>744</v>
      </c>
      <c r="I561">
        <f>VLOOKUP(G561,Table4[[SKU-COUNTRY2]:[Price in USD]],2,FALSE)</f>
        <v>113.4</v>
      </c>
      <c r="J561">
        <f>VLOOKUP(G561,Sheet3!$C$82:$I$100,MATCH(E561,Sheet3!C$82:H$82,0),FALSE) * VLOOKUP(C561,Table8[],2,0)</f>
        <v>84375</v>
      </c>
      <c r="K561">
        <f>ROUND(J561*VLOOKUP(F561,Sheet3!$A$106:$C$111,2,FALSE),0)</f>
        <v>26156</v>
      </c>
      <c r="L561">
        <f t="shared" si="56"/>
        <v>58219</v>
      </c>
      <c r="M561">
        <f t="shared" si="57"/>
        <v>69</v>
      </c>
      <c r="N561" t="str">
        <f t="shared" si="60"/>
        <v>No</v>
      </c>
      <c r="O561">
        <f t="shared" si="61"/>
        <v>0</v>
      </c>
      <c r="P561" t="str">
        <f t="shared" si="62"/>
        <v>None</v>
      </c>
      <c r="Q561" t="s">
        <v>124</v>
      </c>
    </row>
    <row r="562" spans="1:17" x14ac:dyDescent="0.3">
      <c r="A562">
        <v>561</v>
      </c>
      <c r="B562" t="s">
        <v>22</v>
      </c>
      <c r="C562" s="1">
        <v>45870</v>
      </c>
      <c r="D562" t="s">
        <v>29</v>
      </c>
      <c r="E562" t="s">
        <v>31</v>
      </c>
      <c r="F562" s="2" t="s">
        <v>37</v>
      </c>
      <c r="G562" t="str">
        <f t="shared" si="58"/>
        <v>Oudgasm Tobacco Oud 04-UAE</v>
      </c>
      <c r="H562">
        <f t="shared" si="59"/>
        <v>1323</v>
      </c>
      <c r="I562">
        <f>VLOOKUP(G562,Table4[[SKU-COUNTRY2]:[Price in USD]],2,FALSE)</f>
        <v>148.77000000000001</v>
      </c>
      <c r="J562">
        <f>VLOOKUP(G562,Sheet3!$C$82:$I$100,MATCH(E562,Sheet3!C$82:H$82,0),FALSE) * VLOOKUP(C562,Table8[],2,0)</f>
        <v>196875</v>
      </c>
      <c r="K562">
        <f>ROUND(J562*VLOOKUP(F562,Sheet3!$A$106:$C$111,2,FALSE),0)</f>
        <v>68906</v>
      </c>
      <c r="L562">
        <f t="shared" si="56"/>
        <v>127969</v>
      </c>
      <c r="M562">
        <f t="shared" si="57"/>
        <v>65</v>
      </c>
      <c r="N562" t="str">
        <f t="shared" si="60"/>
        <v>No</v>
      </c>
      <c r="O562">
        <f t="shared" si="61"/>
        <v>0</v>
      </c>
      <c r="P562" t="str">
        <f t="shared" si="62"/>
        <v>None</v>
      </c>
      <c r="Q562" t="s">
        <v>124</v>
      </c>
    </row>
    <row r="563" spans="1:17" x14ac:dyDescent="0.3">
      <c r="A563">
        <v>562</v>
      </c>
      <c r="B563" t="s">
        <v>22</v>
      </c>
      <c r="C563" s="1">
        <v>45870</v>
      </c>
      <c r="D563" t="s">
        <v>29</v>
      </c>
      <c r="E563" t="s">
        <v>31</v>
      </c>
      <c r="F563" s="2" t="s">
        <v>38</v>
      </c>
      <c r="G563" t="str">
        <f t="shared" si="58"/>
        <v>Yum Pistachio Gelato 33-UAE</v>
      </c>
      <c r="H563">
        <f t="shared" si="59"/>
        <v>595</v>
      </c>
      <c r="I563">
        <f>VLOOKUP(G563,Table4[[SKU-COUNTRY2]:[Price in USD]],2,FALSE)</f>
        <v>113.4</v>
      </c>
      <c r="J563">
        <f>VLOOKUP(G563,Sheet3!$C$82:$I$100,MATCH(E563,Sheet3!C$82:H$82,0),FALSE) * VLOOKUP(C563,Table8[],2,0)</f>
        <v>67500</v>
      </c>
      <c r="K563">
        <f>ROUND(J563*VLOOKUP(F563,Sheet3!$A$106:$C$111,2,FALSE),0)</f>
        <v>20925</v>
      </c>
      <c r="L563">
        <f t="shared" si="56"/>
        <v>46575</v>
      </c>
      <c r="M563">
        <f t="shared" si="57"/>
        <v>69</v>
      </c>
      <c r="N563" t="str">
        <f t="shared" si="60"/>
        <v>No</v>
      </c>
      <c r="O563">
        <f t="shared" si="61"/>
        <v>0</v>
      </c>
      <c r="P563" t="str">
        <f t="shared" si="62"/>
        <v>None</v>
      </c>
      <c r="Q563" t="s">
        <v>124</v>
      </c>
    </row>
    <row r="564" spans="1:17" x14ac:dyDescent="0.3">
      <c r="A564">
        <v>563</v>
      </c>
      <c r="B564" t="s">
        <v>22</v>
      </c>
      <c r="C564" s="1">
        <v>45870</v>
      </c>
      <c r="D564" t="s">
        <v>29</v>
      </c>
      <c r="E564" t="s">
        <v>31</v>
      </c>
      <c r="F564" s="2" t="s">
        <v>39</v>
      </c>
      <c r="G564" t="str">
        <f t="shared" si="58"/>
        <v>Freedom Musk Santal 34-UAE</v>
      </c>
      <c r="H564">
        <f t="shared" si="59"/>
        <v>496</v>
      </c>
      <c r="I564">
        <f>VLOOKUP(G564,Table4[[SKU-COUNTRY2]:[Price in USD]],2,FALSE)</f>
        <v>113.4</v>
      </c>
      <c r="J564">
        <f>VLOOKUP(G564,Sheet3!$C$82:$I$100,MATCH(E564,Sheet3!C$82:H$82,0),FALSE) * VLOOKUP(C564,Table8[],2,0)</f>
        <v>56250</v>
      </c>
      <c r="K564">
        <f>ROUND(J564*VLOOKUP(F564,Sheet3!$A$106:$C$111,2,FALSE),0)</f>
        <v>18000</v>
      </c>
      <c r="L564">
        <f t="shared" si="56"/>
        <v>38250</v>
      </c>
      <c r="M564">
        <f t="shared" si="57"/>
        <v>68</v>
      </c>
      <c r="N564" t="str">
        <f t="shared" si="60"/>
        <v>No</v>
      </c>
      <c r="O564">
        <f t="shared" si="61"/>
        <v>0</v>
      </c>
      <c r="P564" t="str">
        <f t="shared" si="62"/>
        <v>None</v>
      </c>
      <c r="Q564" t="s">
        <v>124</v>
      </c>
    </row>
    <row r="565" spans="1:17" x14ac:dyDescent="0.3">
      <c r="A565">
        <v>564</v>
      </c>
      <c r="B565" t="s">
        <v>22</v>
      </c>
      <c r="C565" s="1">
        <v>45870</v>
      </c>
      <c r="D565" t="s">
        <v>29</v>
      </c>
      <c r="E565" t="s">
        <v>31</v>
      </c>
      <c r="F565" s="2" t="s">
        <v>40</v>
      </c>
      <c r="G565" t="str">
        <f t="shared" si="58"/>
        <v>Musk 12-UAE</v>
      </c>
      <c r="H565">
        <f t="shared" si="59"/>
        <v>397</v>
      </c>
      <c r="I565">
        <f>VLOOKUP(G565,Table4[[SKU-COUNTRY2]:[Price in USD]],2,FALSE)</f>
        <v>113.4</v>
      </c>
      <c r="J565">
        <f>VLOOKUP(G565,Sheet3!$C$82:$I$100,MATCH(E565,Sheet3!C$82:H$82,0),FALSE) * VLOOKUP(C565,Table8[],2,0)</f>
        <v>45000</v>
      </c>
      <c r="K565">
        <f>ROUND(J565*VLOOKUP(F565,Sheet3!$A$106:$C$111,2,FALSE),0)</f>
        <v>13500</v>
      </c>
      <c r="L565">
        <f t="shared" si="56"/>
        <v>31500</v>
      </c>
      <c r="M565">
        <f t="shared" si="57"/>
        <v>70</v>
      </c>
      <c r="N565" t="str">
        <f t="shared" si="60"/>
        <v>No</v>
      </c>
      <c r="O565">
        <f t="shared" si="61"/>
        <v>0</v>
      </c>
      <c r="P565" t="str">
        <f t="shared" si="62"/>
        <v>None</v>
      </c>
      <c r="Q565" t="s">
        <v>124</v>
      </c>
    </row>
    <row r="566" spans="1:17" x14ac:dyDescent="0.3">
      <c r="A566">
        <v>565</v>
      </c>
      <c r="B566" t="s">
        <v>22</v>
      </c>
      <c r="C566" s="1">
        <v>45870</v>
      </c>
      <c r="D566" t="s">
        <v>29</v>
      </c>
      <c r="E566" t="s">
        <v>33</v>
      </c>
      <c r="F566" s="2" t="s">
        <v>35</v>
      </c>
      <c r="G566" t="str">
        <f t="shared" si="58"/>
        <v>Vanilla 28-UAE</v>
      </c>
      <c r="H566">
        <f t="shared" si="59"/>
        <v>794</v>
      </c>
      <c r="I566">
        <f>VLOOKUP(G566,Table4[[SKU-COUNTRY2]:[Price in USD]],2,FALSE)</f>
        <v>113.4</v>
      </c>
      <c r="J566">
        <f>VLOOKUP(G566,Sheet3!$C$82:$I$100,MATCH(E566,Sheet3!C$82:H$82,0),FALSE) * VLOOKUP(C566,Table8[],2,0)</f>
        <v>90000</v>
      </c>
      <c r="K566">
        <f>ROUND(J566*VLOOKUP(F566,Sheet3!$A$106:$C$111,2,FALSE),0)</f>
        <v>27000</v>
      </c>
      <c r="L566">
        <f t="shared" si="56"/>
        <v>63000</v>
      </c>
      <c r="M566">
        <f t="shared" si="57"/>
        <v>70</v>
      </c>
      <c r="N566" t="str">
        <f t="shared" si="60"/>
        <v>No</v>
      </c>
      <c r="O566">
        <f t="shared" si="61"/>
        <v>0</v>
      </c>
      <c r="P566" t="str">
        <f t="shared" si="62"/>
        <v>None</v>
      </c>
      <c r="Q566" t="s">
        <v>124</v>
      </c>
    </row>
    <row r="567" spans="1:17" x14ac:dyDescent="0.3">
      <c r="A567">
        <v>566</v>
      </c>
      <c r="B567" t="s">
        <v>22</v>
      </c>
      <c r="C567" s="1">
        <v>45870</v>
      </c>
      <c r="D567" t="s">
        <v>29</v>
      </c>
      <c r="E567" t="s">
        <v>33</v>
      </c>
      <c r="F567" s="2" t="s">
        <v>36</v>
      </c>
      <c r="G567" t="str">
        <f t="shared" si="58"/>
        <v>Eden Juicy Apple 01-UAE</v>
      </c>
      <c r="H567">
        <f t="shared" si="59"/>
        <v>595</v>
      </c>
      <c r="I567">
        <f>VLOOKUP(G567,Table4[[SKU-COUNTRY2]:[Price in USD]],2,FALSE)</f>
        <v>113.4</v>
      </c>
      <c r="J567">
        <f>VLOOKUP(G567,Sheet3!$C$82:$I$100,MATCH(E567,Sheet3!C$82:H$82,0),FALSE) * VLOOKUP(C567,Table8[],2,0)</f>
        <v>67500</v>
      </c>
      <c r="K567">
        <f>ROUND(J567*VLOOKUP(F567,Sheet3!$A$106:$C$111,2,FALSE),0)</f>
        <v>20925</v>
      </c>
      <c r="L567">
        <f t="shared" si="56"/>
        <v>46575</v>
      </c>
      <c r="M567">
        <f t="shared" si="57"/>
        <v>69</v>
      </c>
      <c r="N567" t="str">
        <f t="shared" si="60"/>
        <v>No</v>
      </c>
      <c r="O567">
        <f t="shared" si="61"/>
        <v>0</v>
      </c>
      <c r="P567" t="str">
        <f t="shared" si="62"/>
        <v>None</v>
      </c>
      <c r="Q567" t="s">
        <v>124</v>
      </c>
    </row>
    <row r="568" spans="1:17" x14ac:dyDescent="0.3">
      <c r="A568">
        <v>567</v>
      </c>
      <c r="B568" t="s">
        <v>22</v>
      </c>
      <c r="C568" s="1">
        <v>45870</v>
      </c>
      <c r="D568" t="s">
        <v>29</v>
      </c>
      <c r="E568" t="s">
        <v>33</v>
      </c>
      <c r="F568" s="2" t="s">
        <v>37</v>
      </c>
      <c r="G568" t="str">
        <f t="shared" si="58"/>
        <v>Oudgasm Tobacco Oud 04-UAE</v>
      </c>
      <c r="H568">
        <f t="shared" si="59"/>
        <v>1059</v>
      </c>
      <c r="I568">
        <f>VLOOKUP(G568,Table4[[SKU-COUNTRY2]:[Price in USD]],2,FALSE)</f>
        <v>148.77000000000001</v>
      </c>
      <c r="J568">
        <f>VLOOKUP(G568,Sheet3!$C$82:$I$100,MATCH(E568,Sheet3!C$82:H$82,0),FALSE) * VLOOKUP(C568,Table8[],2,0)</f>
        <v>157500</v>
      </c>
      <c r="K568">
        <f>ROUND(J568*VLOOKUP(F568,Sheet3!$A$106:$C$111,2,FALSE),0)</f>
        <v>55125</v>
      </c>
      <c r="L568">
        <f t="shared" si="56"/>
        <v>102375</v>
      </c>
      <c r="M568">
        <f t="shared" si="57"/>
        <v>65</v>
      </c>
      <c r="N568" t="str">
        <f t="shared" si="60"/>
        <v>No</v>
      </c>
      <c r="O568">
        <f t="shared" si="61"/>
        <v>0</v>
      </c>
      <c r="P568" t="str">
        <f t="shared" si="62"/>
        <v>None</v>
      </c>
      <c r="Q568" t="s">
        <v>124</v>
      </c>
    </row>
    <row r="569" spans="1:17" x14ac:dyDescent="0.3">
      <c r="A569">
        <v>568</v>
      </c>
      <c r="B569" t="s">
        <v>22</v>
      </c>
      <c r="C569" s="1">
        <v>45870</v>
      </c>
      <c r="D569" t="s">
        <v>29</v>
      </c>
      <c r="E569" t="s">
        <v>33</v>
      </c>
      <c r="F569" s="2" t="s">
        <v>38</v>
      </c>
      <c r="G569" t="str">
        <f t="shared" si="58"/>
        <v>Yum Pistachio Gelato 33-UAE</v>
      </c>
      <c r="H569">
        <f t="shared" si="59"/>
        <v>476</v>
      </c>
      <c r="I569">
        <f>VLOOKUP(G569,Table4[[SKU-COUNTRY2]:[Price in USD]],2,FALSE)</f>
        <v>113.4</v>
      </c>
      <c r="J569">
        <f>VLOOKUP(G569,Sheet3!$C$82:$I$100,MATCH(E569,Sheet3!C$82:H$82,0),FALSE) * VLOOKUP(C569,Table8[],2,0)</f>
        <v>54000</v>
      </c>
      <c r="K569">
        <f>ROUND(J569*VLOOKUP(F569,Sheet3!$A$106:$C$111,2,FALSE),0)</f>
        <v>16740</v>
      </c>
      <c r="L569">
        <f t="shared" si="56"/>
        <v>37260</v>
      </c>
      <c r="M569">
        <f t="shared" si="57"/>
        <v>69</v>
      </c>
      <c r="N569" t="str">
        <f t="shared" si="60"/>
        <v>No</v>
      </c>
      <c r="O569">
        <f t="shared" si="61"/>
        <v>0</v>
      </c>
      <c r="P569" t="str">
        <f t="shared" si="62"/>
        <v>None</v>
      </c>
      <c r="Q569" t="s">
        <v>124</v>
      </c>
    </row>
    <row r="570" spans="1:17" x14ac:dyDescent="0.3">
      <c r="A570">
        <v>569</v>
      </c>
      <c r="B570" t="s">
        <v>22</v>
      </c>
      <c r="C570" s="1">
        <v>45870</v>
      </c>
      <c r="D570" t="s">
        <v>29</v>
      </c>
      <c r="E570" t="s">
        <v>33</v>
      </c>
      <c r="F570" s="2" t="s">
        <v>39</v>
      </c>
      <c r="G570" t="str">
        <f t="shared" si="58"/>
        <v>Freedom Musk Santal 34-UAE</v>
      </c>
      <c r="H570">
        <f t="shared" si="59"/>
        <v>397</v>
      </c>
      <c r="I570">
        <f>VLOOKUP(G570,Table4[[SKU-COUNTRY2]:[Price in USD]],2,FALSE)</f>
        <v>113.4</v>
      </c>
      <c r="J570">
        <f>VLOOKUP(G570,Sheet3!$C$82:$I$100,MATCH(E570,Sheet3!C$82:H$82,0),FALSE) * VLOOKUP(C570,Table8[],2,0)</f>
        <v>45000</v>
      </c>
      <c r="K570">
        <f>ROUND(J570*VLOOKUP(F570,Sheet3!$A$106:$C$111,2,FALSE),0)</f>
        <v>14400</v>
      </c>
      <c r="L570">
        <f t="shared" si="56"/>
        <v>30600</v>
      </c>
      <c r="M570">
        <f t="shared" si="57"/>
        <v>68</v>
      </c>
      <c r="N570" t="str">
        <f t="shared" si="60"/>
        <v>No</v>
      </c>
      <c r="O570">
        <f t="shared" si="61"/>
        <v>0</v>
      </c>
      <c r="P570" t="str">
        <f t="shared" si="62"/>
        <v>None</v>
      </c>
      <c r="Q570" t="s">
        <v>124</v>
      </c>
    </row>
    <row r="571" spans="1:17" x14ac:dyDescent="0.3">
      <c r="A571">
        <v>570</v>
      </c>
      <c r="B571" t="s">
        <v>22</v>
      </c>
      <c r="C571" s="1">
        <v>45870</v>
      </c>
      <c r="D571" t="s">
        <v>29</v>
      </c>
      <c r="E571" t="s">
        <v>33</v>
      </c>
      <c r="F571" s="2" t="s">
        <v>40</v>
      </c>
      <c r="G571" t="str">
        <f t="shared" si="58"/>
        <v>Musk 12-UAE</v>
      </c>
      <c r="H571">
        <f t="shared" si="59"/>
        <v>317</v>
      </c>
      <c r="I571">
        <f>VLOOKUP(G571,Table4[[SKU-COUNTRY2]:[Price in USD]],2,FALSE)</f>
        <v>113.4</v>
      </c>
      <c r="J571">
        <f>VLOOKUP(G571,Sheet3!$C$82:$I$100,MATCH(E571,Sheet3!C$82:H$82,0),FALSE) * VLOOKUP(C571,Table8[],2,0)</f>
        <v>36000</v>
      </c>
      <c r="K571">
        <f>ROUND(J571*VLOOKUP(F571,Sheet3!$A$106:$C$111,2,FALSE),0)</f>
        <v>10800</v>
      </c>
      <c r="L571">
        <f t="shared" si="56"/>
        <v>25200</v>
      </c>
      <c r="M571">
        <f t="shared" si="57"/>
        <v>70</v>
      </c>
      <c r="N571" t="str">
        <f t="shared" si="60"/>
        <v>No</v>
      </c>
      <c r="O571">
        <f t="shared" si="61"/>
        <v>0</v>
      </c>
      <c r="P571" t="str">
        <f t="shared" si="62"/>
        <v>None</v>
      </c>
      <c r="Q571" t="s">
        <v>124</v>
      </c>
    </row>
    <row r="572" spans="1:17" x14ac:dyDescent="0.3">
      <c r="A572">
        <v>571</v>
      </c>
      <c r="B572" t="s">
        <v>22</v>
      </c>
      <c r="C572" s="1">
        <v>45870</v>
      </c>
      <c r="D572" t="s">
        <v>29</v>
      </c>
      <c r="E572" t="s">
        <v>34</v>
      </c>
      <c r="F572" s="2" t="s">
        <v>35</v>
      </c>
      <c r="G572" t="str">
        <f t="shared" si="58"/>
        <v>Vanilla 28-UAE</v>
      </c>
      <c r="H572">
        <f t="shared" si="59"/>
        <v>397</v>
      </c>
      <c r="I572">
        <f>VLOOKUP(G572,Table4[[SKU-COUNTRY2]:[Price in USD]],2,FALSE)</f>
        <v>113.4</v>
      </c>
      <c r="J572">
        <f>VLOOKUP(G572,Sheet3!$C$82:$I$100,MATCH(E572,Sheet3!C$82:H$82,0),FALSE) * VLOOKUP(C572,Table8[],2,0)</f>
        <v>45000</v>
      </c>
      <c r="K572">
        <f>ROUND(J572*VLOOKUP(F572,Sheet3!$A$106:$C$111,2,FALSE),0)</f>
        <v>13500</v>
      </c>
      <c r="L572">
        <f t="shared" si="56"/>
        <v>31500</v>
      </c>
      <c r="M572">
        <f t="shared" si="57"/>
        <v>70</v>
      </c>
      <c r="N572" t="str">
        <f t="shared" si="60"/>
        <v>No</v>
      </c>
      <c r="O572">
        <f t="shared" si="61"/>
        <v>0</v>
      </c>
      <c r="P572" t="str">
        <f t="shared" si="62"/>
        <v>None</v>
      </c>
      <c r="Q572" t="s">
        <v>124</v>
      </c>
    </row>
    <row r="573" spans="1:17" x14ac:dyDescent="0.3">
      <c r="A573">
        <v>572</v>
      </c>
      <c r="B573" t="s">
        <v>22</v>
      </c>
      <c r="C573" s="1">
        <v>45870</v>
      </c>
      <c r="D573" t="s">
        <v>29</v>
      </c>
      <c r="E573" t="s">
        <v>34</v>
      </c>
      <c r="F573" s="2" t="s">
        <v>36</v>
      </c>
      <c r="G573" t="str">
        <f t="shared" si="58"/>
        <v>Eden Juicy Apple 01-UAE</v>
      </c>
      <c r="H573">
        <f t="shared" si="59"/>
        <v>298</v>
      </c>
      <c r="I573">
        <f>VLOOKUP(G573,Table4[[SKU-COUNTRY2]:[Price in USD]],2,FALSE)</f>
        <v>113.4</v>
      </c>
      <c r="J573">
        <f>VLOOKUP(G573,Sheet3!$C$82:$I$100,MATCH(E573,Sheet3!C$82:H$82,0),FALSE) * VLOOKUP(C573,Table8[],2,0)</f>
        <v>33750</v>
      </c>
      <c r="K573">
        <f>ROUND(J573*VLOOKUP(F573,Sheet3!$A$106:$C$111,2,FALSE),0)</f>
        <v>10463</v>
      </c>
      <c r="L573">
        <f t="shared" si="56"/>
        <v>23287</v>
      </c>
      <c r="M573">
        <f t="shared" si="57"/>
        <v>69</v>
      </c>
      <c r="N573" t="str">
        <f t="shared" si="60"/>
        <v>No</v>
      </c>
      <c r="O573">
        <f t="shared" si="61"/>
        <v>0</v>
      </c>
      <c r="P573" t="str">
        <f t="shared" si="62"/>
        <v>None</v>
      </c>
      <c r="Q573" t="s">
        <v>124</v>
      </c>
    </row>
    <row r="574" spans="1:17" x14ac:dyDescent="0.3">
      <c r="A574">
        <v>573</v>
      </c>
      <c r="B574" t="s">
        <v>22</v>
      </c>
      <c r="C574" s="1">
        <v>45870</v>
      </c>
      <c r="D574" t="s">
        <v>29</v>
      </c>
      <c r="E574" t="s">
        <v>34</v>
      </c>
      <c r="F574" s="2" t="s">
        <v>37</v>
      </c>
      <c r="G574" t="str">
        <f t="shared" si="58"/>
        <v>Oudgasm Tobacco Oud 04-UAE</v>
      </c>
      <c r="H574">
        <f t="shared" si="59"/>
        <v>529</v>
      </c>
      <c r="I574">
        <f>VLOOKUP(G574,Table4[[SKU-COUNTRY2]:[Price in USD]],2,FALSE)</f>
        <v>148.77000000000001</v>
      </c>
      <c r="J574">
        <f>VLOOKUP(G574,Sheet3!$C$82:$I$100,MATCH(E574,Sheet3!C$82:H$82,0),FALSE) * VLOOKUP(C574,Table8[],2,0)</f>
        <v>78750</v>
      </c>
      <c r="K574">
        <f>ROUND(J574*VLOOKUP(F574,Sheet3!$A$106:$C$111,2,FALSE),0)</f>
        <v>27563</v>
      </c>
      <c r="L574">
        <f t="shared" si="56"/>
        <v>51187</v>
      </c>
      <c r="M574">
        <f t="shared" si="57"/>
        <v>65</v>
      </c>
      <c r="N574" t="str">
        <f t="shared" si="60"/>
        <v>No</v>
      </c>
      <c r="O574">
        <f t="shared" si="61"/>
        <v>0</v>
      </c>
      <c r="P574" t="str">
        <f t="shared" si="62"/>
        <v>None</v>
      </c>
      <c r="Q574" t="s">
        <v>124</v>
      </c>
    </row>
    <row r="575" spans="1:17" x14ac:dyDescent="0.3">
      <c r="A575">
        <v>574</v>
      </c>
      <c r="B575" t="s">
        <v>22</v>
      </c>
      <c r="C575" s="1">
        <v>45870</v>
      </c>
      <c r="D575" t="s">
        <v>29</v>
      </c>
      <c r="E575" t="s">
        <v>34</v>
      </c>
      <c r="F575" s="2" t="s">
        <v>38</v>
      </c>
      <c r="G575" t="str">
        <f t="shared" si="58"/>
        <v>Yum Pistachio Gelato 33-UAE</v>
      </c>
      <c r="H575">
        <f t="shared" si="59"/>
        <v>238</v>
      </c>
      <c r="I575">
        <f>VLOOKUP(G575,Table4[[SKU-COUNTRY2]:[Price in USD]],2,FALSE)</f>
        <v>113.4</v>
      </c>
      <c r="J575">
        <f>VLOOKUP(G575,Sheet3!$C$82:$I$100,MATCH(E575,Sheet3!C$82:H$82,0),FALSE) * VLOOKUP(C575,Table8[],2,0)</f>
        <v>27000</v>
      </c>
      <c r="K575">
        <f>ROUND(J575*VLOOKUP(F575,Sheet3!$A$106:$C$111,2,FALSE),0)</f>
        <v>8370</v>
      </c>
      <c r="L575">
        <f t="shared" si="56"/>
        <v>18630</v>
      </c>
      <c r="M575">
        <f t="shared" si="57"/>
        <v>69</v>
      </c>
      <c r="N575" t="str">
        <f t="shared" si="60"/>
        <v>No</v>
      </c>
      <c r="O575">
        <f t="shared" si="61"/>
        <v>0</v>
      </c>
      <c r="P575" t="str">
        <f t="shared" si="62"/>
        <v>None</v>
      </c>
      <c r="Q575" t="s">
        <v>124</v>
      </c>
    </row>
    <row r="576" spans="1:17" x14ac:dyDescent="0.3">
      <c r="A576">
        <v>575</v>
      </c>
      <c r="B576" t="s">
        <v>22</v>
      </c>
      <c r="C576" s="1">
        <v>45870</v>
      </c>
      <c r="D576" t="s">
        <v>29</v>
      </c>
      <c r="E576" t="s">
        <v>34</v>
      </c>
      <c r="F576" s="2" t="s">
        <v>39</v>
      </c>
      <c r="G576" t="str">
        <f t="shared" si="58"/>
        <v>Freedom Musk Santal 34-UAE</v>
      </c>
      <c r="H576">
        <f t="shared" si="59"/>
        <v>198</v>
      </c>
      <c r="I576">
        <f>VLOOKUP(G576,Table4[[SKU-COUNTRY2]:[Price in USD]],2,FALSE)</f>
        <v>113.4</v>
      </c>
      <c r="J576">
        <f>VLOOKUP(G576,Sheet3!$C$82:$I$100,MATCH(E576,Sheet3!C$82:H$82,0),FALSE) * VLOOKUP(C576,Table8[],2,0)</f>
        <v>22500</v>
      </c>
      <c r="K576">
        <f>ROUND(J576*VLOOKUP(F576,Sheet3!$A$106:$C$111,2,FALSE),0)</f>
        <v>7200</v>
      </c>
      <c r="L576">
        <f t="shared" si="56"/>
        <v>15300</v>
      </c>
      <c r="M576">
        <f t="shared" si="57"/>
        <v>68</v>
      </c>
      <c r="N576" t="str">
        <f t="shared" si="60"/>
        <v>No</v>
      </c>
      <c r="O576">
        <f t="shared" si="61"/>
        <v>0</v>
      </c>
      <c r="P576" t="str">
        <f t="shared" si="62"/>
        <v>None</v>
      </c>
      <c r="Q576" t="s">
        <v>124</v>
      </c>
    </row>
    <row r="577" spans="1:17" x14ac:dyDescent="0.3">
      <c r="A577">
        <v>576</v>
      </c>
      <c r="B577" t="s">
        <v>22</v>
      </c>
      <c r="C577" s="1">
        <v>45870</v>
      </c>
      <c r="D577" t="s">
        <v>29</v>
      </c>
      <c r="E577" t="s">
        <v>34</v>
      </c>
      <c r="F577" s="2" t="s">
        <v>40</v>
      </c>
      <c r="G577" t="str">
        <f t="shared" si="58"/>
        <v>Musk 12-UAE</v>
      </c>
      <c r="H577">
        <f t="shared" si="59"/>
        <v>159</v>
      </c>
      <c r="I577">
        <f>VLOOKUP(G577,Table4[[SKU-COUNTRY2]:[Price in USD]],2,FALSE)</f>
        <v>113.4</v>
      </c>
      <c r="J577">
        <f>VLOOKUP(G577,Sheet3!$C$82:$I$100,MATCH(E577,Sheet3!C$82:H$82,0),FALSE) * VLOOKUP(C577,Table8[],2,0)</f>
        <v>18000</v>
      </c>
      <c r="K577">
        <f>ROUND(J577*VLOOKUP(F577,Sheet3!$A$106:$C$111,2,FALSE),0)</f>
        <v>5400</v>
      </c>
      <c r="L577">
        <f t="shared" si="56"/>
        <v>12600</v>
      </c>
      <c r="M577">
        <f t="shared" si="57"/>
        <v>70</v>
      </c>
      <c r="N577" t="str">
        <f t="shared" si="60"/>
        <v>No</v>
      </c>
      <c r="O577">
        <f t="shared" si="61"/>
        <v>0</v>
      </c>
      <c r="P577" t="str">
        <f t="shared" si="62"/>
        <v>None</v>
      </c>
      <c r="Q577" t="s">
        <v>124</v>
      </c>
    </row>
    <row r="578" spans="1:17" x14ac:dyDescent="0.3">
      <c r="A578">
        <v>577</v>
      </c>
      <c r="B578" t="s">
        <v>23</v>
      </c>
      <c r="C578" s="1">
        <v>45901</v>
      </c>
      <c r="D578" t="s">
        <v>28</v>
      </c>
      <c r="E578" t="s">
        <v>32</v>
      </c>
      <c r="F578" s="2" t="s">
        <v>35</v>
      </c>
      <c r="G578" t="str">
        <f t="shared" si="58"/>
        <v>Vanilla 28-USA</v>
      </c>
      <c r="H578">
        <f t="shared" si="59"/>
        <v>25667</v>
      </c>
      <c r="I578">
        <f>VLOOKUP(G578,Table4[[SKU-COUNTRY2]:[Price in USD]],2,FALSE)</f>
        <v>105</v>
      </c>
      <c r="J578">
        <f>VLOOKUP(G578,Sheet3!$C$82:$I$100,MATCH(E578,Sheet3!C$82:H$82,0),FALSE) * VLOOKUP(C578,Table8[],2,0)</f>
        <v>2695000</v>
      </c>
      <c r="K578">
        <f>ROUND(J578*VLOOKUP(F578,Sheet3!$A$106:$C$111,2,FALSE),0)</f>
        <v>808500</v>
      </c>
      <c r="L578">
        <f t="shared" ref="L578:L641" si="63">J578-K578</f>
        <v>1886500</v>
      </c>
      <c r="M578">
        <f t="shared" ref="M578:M641" si="64">ROUND(L578/J578*100, 1)</f>
        <v>70</v>
      </c>
      <c r="N578" t="str">
        <f t="shared" si="60"/>
        <v>Yes</v>
      </c>
      <c r="O578">
        <f t="shared" si="61"/>
        <v>0</v>
      </c>
      <c r="P578" t="str">
        <f t="shared" si="62"/>
        <v>Freedom Launch</v>
      </c>
      <c r="Q578" t="s">
        <v>124</v>
      </c>
    </row>
    <row r="579" spans="1:17" x14ac:dyDescent="0.3">
      <c r="A579">
        <v>578</v>
      </c>
      <c r="B579" t="s">
        <v>23</v>
      </c>
      <c r="C579" s="1">
        <v>45901</v>
      </c>
      <c r="D579" t="s">
        <v>28</v>
      </c>
      <c r="E579" t="s">
        <v>32</v>
      </c>
      <c r="F579" s="2" t="s">
        <v>36</v>
      </c>
      <c r="G579" t="str">
        <f t="shared" ref="G579:G642" si="65">_xlfn.CONCAT(F579,"-",D579,)</f>
        <v>Eden Juicy Apple 01-USA</v>
      </c>
      <c r="H579">
        <f t="shared" ref="H579:H642" si="66">ROUND(J579/I579,0)</f>
        <v>14667</v>
      </c>
      <c r="I579">
        <f>VLOOKUP(G579,Table4[[SKU-COUNTRY2]:[Price in USD]],2,FALSE)</f>
        <v>105</v>
      </c>
      <c r="J579">
        <f>VLOOKUP(G579,Sheet3!$C$82:$I$100,MATCH(E579,Sheet3!C$82:H$82,0),FALSE) * VLOOKUP(C579,Table8[],2,0)</f>
        <v>1540000.0000000002</v>
      </c>
      <c r="K579">
        <f>ROUND(J579*VLOOKUP(F579,Sheet3!$A$106:$C$111,2,FALSE),0)</f>
        <v>477400</v>
      </c>
      <c r="L579">
        <f t="shared" si="63"/>
        <v>1062600.0000000002</v>
      </c>
      <c r="M579">
        <f t="shared" si="64"/>
        <v>69</v>
      </c>
      <c r="N579" t="str">
        <f t="shared" ref="N579:N642" si="67">IF(OR(
    MONTH(C579)=2,
    AND(MONTH(C579)=3, D579="UAE"),
    AND(MONTH(C579)=6, D579="UAE"),
    AND(MONTH(C579)=7, OR(D579="USA", D579="UK")),
    MONTH(C579)=9,
    AND(MONTH(C579)=11, OR(D579="USA", D579="UK"))
), "Yes", "No")</f>
        <v>Yes</v>
      </c>
      <c r="O579">
        <f t="shared" ref="O579:O642" si="68">IF(MONTH(C579)=2, 15,
IF(AND(MONTH(C579)=3, D579="UAE"), 20,
IF(AND(MONTH(C579)=6, D579="UAE"), 15,
IF(AND(MONTH(C579)=7, OR(D579="USA", D579="UK")), 20,
IF(AND(MONTH(C579)=11, OR(D579="USA", D579="UK")), 25,
0)))))</f>
        <v>0</v>
      </c>
      <c r="P579" t="str">
        <f t="shared" ref="P579:P642" si="69">IF(MONTH(C579)=2, "Valentine's Day",
IF(AND(MONTH(C579)=3, D579="UAE"), "Eid Al Fitr",
IF(AND(MONTH(C579)=6, D579="UAE"), "Eid Al Adha",
IF(AND(MONTH(C579)=7, OR(D579="USA", D579="UK")), "Summer Sale",
IF(MONTH(C579)=9, "Freedom Launch",
IF(AND(MONTH(C579)=11, OR(D579="USA", D579="UK")), "Black Friday",
"None"))))))</f>
        <v>Freedom Launch</v>
      </c>
      <c r="Q579" t="s">
        <v>124</v>
      </c>
    </row>
    <row r="580" spans="1:17" x14ac:dyDescent="0.3">
      <c r="A580">
        <v>579</v>
      </c>
      <c r="B580" t="s">
        <v>23</v>
      </c>
      <c r="C580" s="1">
        <v>45901</v>
      </c>
      <c r="D580" t="s">
        <v>28</v>
      </c>
      <c r="E580" t="s">
        <v>32</v>
      </c>
      <c r="F580" s="2" t="s">
        <v>37</v>
      </c>
      <c r="G580" t="str">
        <f t="shared" si="65"/>
        <v>Oudgasm Tobacco Oud 04-USA</v>
      </c>
      <c r="H580">
        <f t="shared" si="66"/>
        <v>9900</v>
      </c>
      <c r="I580">
        <f>VLOOKUP(G580,Table4[[SKU-COUNTRY2]:[Price in USD]],2,FALSE)</f>
        <v>140</v>
      </c>
      <c r="J580">
        <f>VLOOKUP(G580,Sheet3!$C$82:$I$100,MATCH(E580,Sheet3!C$82:H$82,0),FALSE) * VLOOKUP(C580,Table8[],2,0)</f>
        <v>1386000</v>
      </c>
      <c r="K580">
        <f>ROUND(J580*VLOOKUP(F580,Sheet3!$A$106:$C$111,2,FALSE),0)</f>
        <v>485100</v>
      </c>
      <c r="L580">
        <f t="shared" si="63"/>
        <v>900900</v>
      </c>
      <c r="M580">
        <f t="shared" si="64"/>
        <v>65</v>
      </c>
      <c r="N580" t="str">
        <f t="shared" si="67"/>
        <v>Yes</v>
      </c>
      <c r="O580">
        <f t="shared" si="68"/>
        <v>0</v>
      </c>
      <c r="P580" t="str">
        <f t="shared" si="69"/>
        <v>Freedom Launch</v>
      </c>
      <c r="Q580" t="s">
        <v>124</v>
      </c>
    </row>
    <row r="581" spans="1:17" x14ac:dyDescent="0.3">
      <c r="A581">
        <v>580</v>
      </c>
      <c r="B581" t="s">
        <v>23</v>
      </c>
      <c r="C581" s="1">
        <v>45901</v>
      </c>
      <c r="D581" t="s">
        <v>28</v>
      </c>
      <c r="E581" t="s">
        <v>32</v>
      </c>
      <c r="F581" s="2" t="s">
        <v>38</v>
      </c>
      <c r="G581" t="str">
        <f t="shared" si="65"/>
        <v>Yum Pistachio Gelato 33-USA</v>
      </c>
      <c r="H581">
        <f t="shared" si="66"/>
        <v>8800</v>
      </c>
      <c r="I581">
        <f>VLOOKUP(G581,Table4[[SKU-COUNTRY2]:[Price in USD]],2,FALSE)</f>
        <v>105</v>
      </c>
      <c r="J581">
        <f>VLOOKUP(G581,Sheet3!$C$82:$I$100,MATCH(E581,Sheet3!C$82:H$82,0),FALSE) * VLOOKUP(C581,Table8[],2,0)</f>
        <v>924000.00000000012</v>
      </c>
      <c r="K581">
        <f>ROUND(J581*VLOOKUP(F581,Sheet3!$A$106:$C$111,2,FALSE),0)</f>
        <v>286440</v>
      </c>
      <c r="L581">
        <f t="shared" si="63"/>
        <v>637560.00000000012</v>
      </c>
      <c r="M581">
        <f t="shared" si="64"/>
        <v>69</v>
      </c>
      <c r="N581" t="str">
        <f t="shared" si="67"/>
        <v>Yes</v>
      </c>
      <c r="O581">
        <f t="shared" si="68"/>
        <v>0</v>
      </c>
      <c r="P581" t="str">
        <f t="shared" si="69"/>
        <v>Freedom Launch</v>
      </c>
      <c r="Q581" t="s">
        <v>124</v>
      </c>
    </row>
    <row r="582" spans="1:17" x14ac:dyDescent="0.3">
      <c r="A582">
        <v>581</v>
      </c>
      <c r="B582" t="s">
        <v>23</v>
      </c>
      <c r="C582" s="1">
        <v>45901</v>
      </c>
      <c r="D582" t="s">
        <v>28</v>
      </c>
      <c r="E582" t="s">
        <v>32</v>
      </c>
      <c r="F582" s="2" t="s">
        <v>39</v>
      </c>
      <c r="G582" t="str">
        <f t="shared" si="65"/>
        <v>Freedom Musk Santal 34-USA</v>
      </c>
      <c r="H582">
        <f t="shared" si="66"/>
        <v>7333</v>
      </c>
      <c r="I582">
        <f>VLOOKUP(G582,Table4[[SKU-COUNTRY2]:[Price in USD]],2,FALSE)</f>
        <v>105</v>
      </c>
      <c r="J582">
        <f>VLOOKUP(G582,Sheet3!$C$82:$I$100,MATCH(E582,Sheet3!C$82:H$82,0),FALSE) * VLOOKUP(C582,Table8[],2,0)</f>
        <v>770000.00000000012</v>
      </c>
      <c r="K582">
        <f>ROUND(J582*VLOOKUP(F582,Sheet3!$A$106:$C$111,2,FALSE),0)</f>
        <v>246400</v>
      </c>
      <c r="L582">
        <f t="shared" si="63"/>
        <v>523600.00000000012</v>
      </c>
      <c r="M582">
        <f t="shared" si="64"/>
        <v>68</v>
      </c>
      <c r="N582" t="str">
        <f t="shared" si="67"/>
        <v>Yes</v>
      </c>
      <c r="O582">
        <f t="shared" si="68"/>
        <v>0</v>
      </c>
      <c r="P582" t="str">
        <f t="shared" si="69"/>
        <v>Freedom Launch</v>
      </c>
      <c r="Q582" t="s">
        <v>124</v>
      </c>
    </row>
    <row r="583" spans="1:17" x14ac:dyDescent="0.3">
      <c r="A583">
        <v>582</v>
      </c>
      <c r="B583" t="s">
        <v>23</v>
      </c>
      <c r="C583" s="1">
        <v>45901</v>
      </c>
      <c r="D583" t="s">
        <v>28</v>
      </c>
      <c r="E583" t="s">
        <v>32</v>
      </c>
      <c r="F583" s="2" t="s">
        <v>40</v>
      </c>
      <c r="G583" t="str">
        <f t="shared" si="65"/>
        <v>Musk 12-USA</v>
      </c>
      <c r="H583">
        <f t="shared" si="66"/>
        <v>3667</v>
      </c>
      <c r="I583">
        <f>VLOOKUP(G583,Table4[[SKU-COUNTRY2]:[Price in USD]],2,FALSE)</f>
        <v>105</v>
      </c>
      <c r="J583">
        <f>VLOOKUP(G583,Sheet3!$C$82:$I$100,MATCH(E583,Sheet3!C$82:H$82,0),FALSE) * VLOOKUP(C583,Table8[],2,0)</f>
        <v>385000.00000000006</v>
      </c>
      <c r="K583">
        <f>ROUND(J583*VLOOKUP(F583,Sheet3!$A$106:$C$111,2,FALSE),0)</f>
        <v>115500</v>
      </c>
      <c r="L583">
        <f t="shared" si="63"/>
        <v>269500.00000000006</v>
      </c>
      <c r="M583">
        <f t="shared" si="64"/>
        <v>70</v>
      </c>
      <c r="N583" t="str">
        <f t="shared" si="67"/>
        <v>Yes</v>
      </c>
      <c r="O583">
        <f t="shared" si="68"/>
        <v>0</v>
      </c>
      <c r="P583" t="str">
        <f t="shared" si="69"/>
        <v>Freedom Launch</v>
      </c>
      <c r="Q583" t="s">
        <v>124</v>
      </c>
    </row>
    <row r="584" spans="1:17" x14ac:dyDescent="0.3">
      <c r="A584">
        <v>583</v>
      </c>
      <c r="B584" t="s">
        <v>23</v>
      </c>
      <c r="C584" s="1">
        <v>45901</v>
      </c>
      <c r="D584" t="s">
        <v>28</v>
      </c>
      <c r="E584" t="s">
        <v>31</v>
      </c>
      <c r="F584" s="2" t="s">
        <v>35</v>
      </c>
      <c r="G584" t="str">
        <f t="shared" si="65"/>
        <v>Vanilla 28-USA</v>
      </c>
      <c r="H584">
        <f t="shared" si="66"/>
        <v>11667</v>
      </c>
      <c r="I584">
        <f>VLOOKUP(G584,Table4[[SKU-COUNTRY2]:[Price in USD]],2,FALSE)</f>
        <v>105</v>
      </c>
      <c r="J584">
        <f>VLOOKUP(G584,Sheet3!$C$82:$I$100,MATCH(E584,Sheet3!C$82:H$82,0),FALSE) * VLOOKUP(C584,Table8[],2,0)</f>
        <v>1225000</v>
      </c>
      <c r="K584">
        <f>ROUND(J584*VLOOKUP(F584,Sheet3!$A$106:$C$111,2,FALSE),0)</f>
        <v>367500</v>
      </c>
      <c r="L584">
        <f t="shared" si="63"/>
        <v>857500</v>
      </c>
      <c r="M584">
        <f t="shared" si="64"/>
        <v>70</v>
      </c>
      <c r="N584" t="str">
        <f t="shared" si="67"/>
        <v>Yes</v>
      </c>
      <c r="O584">
        <f t="shared" si="68"/>
        <v>0</v>
      </c>
      <c r="P584" t="str">
        <f t="shared" si="69"/>
        <v>Freedom Launch</v>
      </c>
      <c r="Q584" t="s">
        <v>124</v>
      </c>
    </row>
    <row r="585" spans="1:17" x14ac:dyDescent="0.3">
      <c r="A585">
        <v>584</v>
      </c>
      <c r="B585" t="s">
        <v>23</v>
      </c>
      <c r="C585" s="1">
        <v>45901</v>
      </c>
      <c r="D585" t="s">
        <v>28</v>
      </c>
      <c r="E585" t="s">
        <v>31</v>
      </c>
      <c r="F585" s="2" t="s">
        <v>36</v>
      </c>
      <c r="G585" t="str">
        <f t="shared" si="65"/>
        <v>Eden Juicy Apple 01-USA</v>
      </c>
      <c r="H585">
        <f t="shared" si="66"/>
        <v>6667</v>
      </c>
      <c r="I585">
        <f>VLOOKUP(G585,Table4[[SKU-COUNTRY2]:[Price in USD]],2,FALSE)</f>
        <v>105</v>
      </c>
      <c r="J585">
        <f>VLOOKUP(G585,Sheet3!$C$82:$I$100,MATCH(E585,Sheet3!C$82:H$82,0),FALSE) * VLOOKUP(C585,Table8[],2,0)</f>
        <v>700000</v>
      </c>
      <c r="K585">
        <f>ROUND(J585*VLOOKUP(F585,Sheet3!$A$106:$C$111,2,FALSE),0)</f>
        <v>217000</v>
      </c>
      <c r="L585">
        <f t="shared" si="63"/>
        <v>483000</v>
      </c>
      <c r="M585">
        <f t="shared" si="64"/>
        <v>69</v>
      </c>
      <c r="N585" t="str">
        <f t="shared" si="67"/>
        <v>Yes</v>
      </c>
      <c r="O585">
        <f t="shared" si="68"/>
        <v>0</v>
      </c>
      <c r="P585" t="str">
        <f t="shared" si="69"/>
        <v>Freedom Launch</v>
      </c>
      <c r="Q585" t="s">
        <v>124</v>
      </c>
    </row>
    <row r="586" spans="1:17" x14ac:dyDescent="0.3">
      <c r="A586">
        <v>585</v>
      </c>
      <c r="B586" t="s">
        <v>23</v>
      </c>
      <c r="C586" s="1">
        <v>45901</v>
      </c>
      <c r="D586" t="s">
        <v>28</v>
      </c>
      <c r="E586" t="s">
        <v>31</v>
      </c>
      <c r="F586" s="2" t="s">
        <v>37</v>
      </c>
      <c r="G586" t="str">
        <f t="shared" si="65"/>
        <v>Oudgasm Tobacco Oud 04-USA</v>
      </c>
      <c r="H586">
        <f t="shared" si="66"/>
        <v>4500</v>
      </c>
      <c r="I586">
        <f>VLOOKUP(G586,Table4[[SKU-COUNTRY2]:[Price in USD]],2,FALSE)</f>
        <v>140</v>
      </c>
      <c r="J586">
        <f>VLOOKUP(G586,Sheet3!$C$82:$I$100,MATCH(E586,Sheet3!C$82:H$82,0),FALSE) * VLOOKUP(C586,Table8[],2,0)</f>
        <v>630000</v>
      </c>
      <c r="K586">
        <f>ROUND(J586*VLOOKUP(F586,Sheet3!$A$106:$C$111,2,FALSE),0)</f>
        <v>220500</v>
      </c>
      <c r="L586">
        <f t="shared" si="63"/>
        <v>409500</v>
      </c>
      <c r="M586">
        <f t="shared" si="64"/>
        <v>65</v>
      </c>
      <c r="N586" t="str">
        <f t="shared" si="67"/>
        <v>Yes</v>
      </c>
      <c r="O586">
        <f t="shared" si="68"/>
        <v>0</v>
      </c>
      <c r="P586" t="str">
        <f t="shared" si="69"/>
        <v>Freedom Launch</v>
      </c>
      <c r="Q586" t="s">
        <v>124</v>
      </c>
    </row>
    <row r="587" spans="1:17" x14ac:dyDescent="0.3">
      <c r="A587">
        <v>586</v>
      </c>
      <c r="B587" t="s">
        <v>23</v>
      </c>
      <c r="C587" s="1">
        <v>45901</v>
      </c>
      <c r="D587" t="s">
        <v>28</v>
      </c>
      <c r="E587" t="s">
        <v>31</v>
      </c>
      <c r="F587" s="2" t="s">
        <v>38</v>
      </c>
      <c r="G587" t="str">
        <f t="shared" si="65"/>
        <v>Yum Pistachio Gelato 33-USA</v>
      </c>
      <c r="H587">
        <f t="shared" si="66"/>
        <v>4000</v>
      </c>
      <c r="I587">
        <f>VLOOKUP(G587,Table4[[SKU-COUNTRY2]:[Price in USD]],2,FALSE)</f>
        <v>105</v>
      </c>
      <c r="J587">
        <f>VLOOKUP(G587,Sheet3!$C$82:$I$100,MATCH(E587,Sheet3!C$82:H$82,0),FALSE) * VLOOKUP(C587,Table8[],2,0)</f>
        <v>420000</v>
      </c>
      <c r="K587">
        <f>ROUND(J587*VLOOKUP(F587,Sheet3!$A$106:$C$111,2,FALSE),0)</f>
        <v>130200</v>
      </c>
      <c r="L587">
        <f t="shared" si="63"/>
        <v>289800</v>
      </c>
      <c r="M587">
        <f t="shared" si="64"/>
        <v>69</v>
      </c>
      <c r="N587" t="str">
        <f t="shared" si="67"/>
        <v>Yes</v>
      </c>
      <c r="O587">
        <f t="shared" si="68"/>
        <v>0</v>
      </c>
      <c r="P587" t="str">
        <f t="shared" si="69"/>
        <v>Freedom Launch</v>
      </c>
      <c r="Q587" t="s">
        <v>124</v>
      </c>
    </row>
    <row r="588" spans="1:17" x14ac:dyDescent="0.3">
      <c r="A588">
        <v>587</v>
      </c>
      <c r="B588" t="s">
        <v>23</v>
      </c>
      <c r="C588" s="1">
        <v>45901</v>
      </c>
      <c r="D588" t="s">
        <v>28</v>
      </c>
      <c r="E588" t="s">
        <v>31</v>
      </c>
      <c r="F588" s="2" t="s">
        <v>39</v>
      </c>
      <c r="G588" t="str">
        <f t="shared" si="65"/>
        <v>Freedom Musk Santal 34-USA</v>
      </c>
      <c r="H588">
        <f t="shared" si="66"/>
        <v>3333</v>
      </c>
      <c r="I588">
        <f>VLOOKUP(G588,Table4[[SKU-COUNTRY2]:[Price in USD]],2,FALSE)</f>
        <v>105</v>
      </c>
      <c r="J588">
        <f>VLOOKUP(G588,Sheet3!$C$82:$I$100,MATCH(E588,Sheet3!C$82:H$82,0),FALSE) * VLOOKUP(C588,Table8[],2,0)</f>
        <v>350000</v>
      </c>
      <c r="K588">
        <f>ROUND(J588*VLOOKUP(F588,Sheet3!$A$106:$C$111,2,FALSE),0)</f>
        <v>112000</v>
      </c>
      <c r="L588">
        <f t="shared" si="63"/>
        <v>238000</v>
      </c>
      <c r="M588">
        <f t="shared" si="64"/>
        <v>68</v>
      </c>
      <c r="N588" t="str">
        <f t="shared" si="67"/>
        <v>Yes</v>
      </c>
      <c r="O588">
        <f t="shared" si="68"/>
        <v>0</v>
      </c>
      <c r="P588" t="str">
        <f t="shared" si="69"/>
        <v>Freedom Launch</v>
      </c>
      <c r="Q588" t="s">
        <v>124</v>
      </c>
    </row>
    <row r="589" spans="1:17" x14ac:dyDescent="0.3">
      <c r="A589">
        <v>588</v>
      </c>
      <c r="B589" t="s">
        <v>23</v>
      </c>
      <c r="C589" s="1">
        <v>45901</v>
      </c>
      <c r="D589" t="s">
        <v>28</v>
      </c>
      <c r="E589" t="s">
        <v>31</v>
      </c>
      <c r="F589" s="2" t="s">
        <v>40</v>
      </c>
      <c r="G589" t="str">
        <f t="shared" si="65"/>
        <v>Musk 12-USA</v>
      </c>
      <c r="H589">
        <f t="shared" si="66"/>
        <v>1667</v>
      </c>
      <c r="I589">
        <f>VLOOKUP(G589,Table4[[SKU-COUNTRY2]:[Price in USD]],2,FALSE)</f>
        <v>105</v>
      </c>
      <c r="J589">
        <f>VLOOKUP(G589,Sheet3!$C$82:$I$100,MATCH(E589,Sheet3!C$82:H$82,0),FALSE) * VLOOKUP(C589,Table8[],2,0)</f>
        <v>175000</v>
      </c>
      <c r="K589">
        <f>ROUND(J589*VLOOKUP(F589,Sheet3!$A$106:$C$111,2,FALSE),0)</f>
        <v>52500</v>
      </c>
      <c r="L589">
        <f t="shared" si="63"/>
        <v>122500</v>
      </c>
      <c r="M589">
        <f t="shared" si="64"/>
        <v>70</v>
      </c>
      <c r="N589" t="str">
        <f t="shared" si="67"/>
        <v>Yes</v>
      </c>
      <c r="O589">
        <f t="shared" si="68"/>
        <v>0</v>
      </c>
      <c r="P589" t="str">
        <f t="shared" si="69"/>
        <v>Freedom Launch</v>
      </c>
      <c r="Q589" t="s">
        <v>124</v>
      </c>
    </row>
    <row r="590" spans="1:17" x14ac:dyDescent="0.3">
      <c r="A590">
        <v>589</v>
      </c>
      <c r="B590" t="s">
        <v>23</v>
      </c>
      <c r="C590" s="1">
        <v>45901</v>
      </c>
      <c r="D590" t="s">
        <v>28</v>
      </c>
      <c r="E590" t="s">
        <v>33</v>
      </c>
      <c r="F590" s="2" t="s">
        <v>35</v>
      </c>
      <c r="G590" t="str">
        <f t="shared" si="65"/>
        <v>Vanilla 28-USA</v>
      </c>
      <c r="H590">
        <f t="shared" si="66"/>
        <v>5600</v>
      </c>
      <c r="I590">
        <f>VLOOKUP(G590,Table4[[SKU-COUNTRY2]:[Price in USD]],2,FALSE)</f>
        <v>105</v>
      </c>
      <c r="J590">
        <f>VLOOKUP(G590,Sheet3!$C$82:$I$100,MATCH(E590,Sheet3!C$82:H$82,0),FALSE) * VLOOKUP(C590,Table8[],2,0)</f>
        <v>588000</v>
      </c>
      <c r="K590">
        <f>ROUND(J590*VLOOKUP(F590,Sheet3!$A$106:$C$111,2,FALSE),0)</f>
        <v>176400</v>
      </c>
      <c r="L590">
        <f t="shared" si="63"/>
        <v>411600</v>
      </c>
      <c r="M590">
        <f t="shared" si="64"/>
        <v>70</v>
      </c>
      <c r="N590" t="str">
        <f t="shared" si="67"/>
        <v>Yes</v>
      </c>
      <c r="O590">
        <f t="shared" si="68"/>
        <v>0</v>
      </c>
      <c r="P590" t="str">
        <f t="shared" si="69"/>
        <v>Freedom Launch</v>
      </c>
      <c r="Q590" t="s">
        <v>124</v>
      </c>
    </row>
    <row r="591" spans="1:17" x14ac:dyDescent="0.3">
      <c r="A591">
        <v>590</v>
      </c>
      <c r="B591" t="s">
        <v>23</v>
      </c>
      <c r="C591" s="1">
        <v>45901</v>
      </c>
      <c r="D591" t="s">
        <v>28</v>
      </c>
      <c r="E591" t="s">
        <v>33</v>
      </c>
      <c r="F591" s="2" t="s">
        <v>36</v>
      </c>
      <c r="G591" t="str">
        <f t="shared" si="65"/>
        <v>Eden Juicy Apple 01-USA</v>
      </c>
      <c r="H591">
        <f t="shared" si="66"/>
        <v>3200</v>
      </c>
      <c r="I591">
        <f>VLOOKUP(G591,Table4[[SKU-COUNTRY2]:[Price in USD]],2,FALSE)</f>
        <v>105</v>
      </c>
      <c r="J591">
        <f>VLOOKUP(G591,Sheet3!$C$82:$I$100,MATCH(E591,Sheet3!C$82:H$82,0),FALSE) * VLOOKUP(C591,Table8[],2,0)</f>
        <v>336000</v>
      </c>
      <c r="K591">
        <f>ROUND(J591*VLOOKUP(F591,Sheet3!$A$106:$C$111,2,FALSE),0)</f>
        <v>104160</v>
      </c>
      <c r="L591">
        <f t="shared" si="63"/>
        <v>231840</v>
      </c>
      <c r="M591">
        <f t="shared" si="64"/>
        <v>69</v>
      </c>
      <c r="N591" t="str">
        <f t="shared" si="67"/>
        <v>Yes</v>
      </c>
      <c r="O591">
        <f t="shared" si="68"/>
        <v>0</v>
      </c>
      <c r="P591" t="str">
        <f t="shared" si="69"/>
        <v>Freedom Launch</v>
      </c>
      <c r="Q591" t="s">
        <v>124</v>
      </c>
    </row>
    <row r="592" spans="1:17" x14ac:dyDescent="0.3">
      <c r="A592">
        <v>591</v>
      </c>
      <c r="B592" t="s">
        <v>23</v>
      </c>
      <c r="C592" s="1">
        <v>45901</v>
      </c>
      <c r="D592" t="s">
        <v>28</v>
      </c>
      <c r="E592" t="s">
        <v>33</v>
      </c>
      <c r="F592" s="2" t="s">
        <v>37</v>
      </c>
      <c r="G592" t="str">
        <f t="shared" si="65"/>
        <v>Oudgasm Tobacco Oud 04-USA</v>
      </c>
      <c r="H592">
        <f t="shared" si="66"/>
        <v>2160</v>
      </c>
      <c r="I592">
        <f>VLOOKUP(G592,Table4[[SKU-COUNTRY2]:[Price in USD]],2,FALSE)</f>
        <v>140</v>
      </c>
      <c r="J592">
        <f>VLOOKUP(G592,Sheet3!$C$82:$I$100,MATCH(E592,Sheet3!C$82:H$82,0),FALSE) * VLOOKUP(C592,Table8[],2,0)</f>
        <v>302400</v>
      </c>
      <c r="K592">
        <f>ROUND(J592*VLOOKUP(F592,Sheet3!$A$106:$C$111,2,FALSE),0)</f>
        <v>105840</v>
      </c>
      <c r="L592">
        <f t="shared" si="63"/>
        <v>196560</v>
      </c>
      <c r="M592">
        <f t="shared" si="64"/>
        <v>65</v>
      </c>
      <c r="N592" t="str">
        <f t="shared" si="67"/>
        <v>Yes</v>
      </c>
      <c r="O592">
        <f t="shared" si="68"/>
        <v>0</v>
      </c>
      <c r="P592" t="str">
        <f t="shared" si="69"/>
        <v>Freedom Launch</v>
      </c>
      <c r="Q592" t="s">
        <v>124</v>
      </c>
    </row>
    <row r="593" spans="1:17" x14ac:dyDescent="0.3">
      <c r="A593">
        <v>592</v>
      </c>
      <c r="B593" t="s">
        <v>23</v>
      </c>
      <c r="C593" s="1">
        <v>45901</v>
      </c>
      <c r="D593" t="s">
        <v>28</v>
      </c>
      <c r="E593" t="s">
        <v>33</v>
      </c>
      <c r="F593" s="2" t="s">
        <v>38</v>
      </c>
      <c r="G593" t="str">
        <f t="shared" si="65"/>
        <v>Yum Pistachio Gelato 33-USA</v>
      </c>
      <c r="H593">
        <f t="shared" si="66"/>
        <v>1920</v>
      </c>
      <c r="I593">
        <f>VLOOKUP(G593,Table4[[SKU-COUNTRY2]:[Price in USD]],2,FALSE)</f>
        <v>105</v>
      </c>
      <c r="J593">
        <f>VLOOKUP(G593,Sheet3!$C$82:$I$100,MATCH(E593,Sheet3!C$82:H$82,0),FALSE) * VLOOKUP(C593,Table8[],2,0)</f>
        <v>201600</v>
      </c>
      <c r="K593">
        <f>ROUND(J593*VLOOKUP(F593,Sheet3!$A$106:$C$111,2,FALSE),0)</f>
        <v>62496</v>
      </c>
      <c r="L593">
        <f t="shared" si="63"/>
        <v>139104</v>
      </c>
      <c r="M593">
        <f t="shared" si="64"/>
        <v>69</v>
      </c>
      <c r="N593" t="str">
        <f t="shared" si="67"/>
        <v>Yes</v>
      </c>
      <c r="O593">
        <f t="shared" si="68"/>
        <v>0</v>
      </c>
      <c r="P593" t="str">
        <f t="shared" si="69"/>
        <v>Freedom Launch</v>
      </c>
      <c r="Q593" t="s">
        <v>124</v>
      </c>
    </row>
    <row r="594" spans="1:17" x14ac:dyDescent="0.3">
      <c r="A594">
        <v>593</v>
      </c>
      <c r="B594" t="s">
        <v>23</v>
      </c>
      <c r="C594" s="1">
        <v>45901</v>
      </c>
      <c r="D594" t="s">
        <v>28</v>
      </c>
      <c r="E594" t="s">
        <v>33</v>
      </c>
      <c r="F594" s="2" t="s">
        <v>39</v>
      </c>
      <c r="G594" t="str">
        <f t="shared" si="65"/>
        <v>Freedom Musk Santal 34-USA</v>
      </c>
      <c r="H594">
        <f t="shared" si="66"/>
        <v>1600</v>
      </c>
      <c r="I594">
        <f>VLOOKUP(G594,Table4[[SKU-COUNTRY2]:[Price in USD]],2,FALSE)</f>
        <v>105</v>
      </c>
      <c r="J594">
        <f>VLOOKUP(G594,Sheet3!$C$82:$I$100,MATCH(E594,Sheet3!C$82:H$82,0),FALSE) * VLOOKUP(C594,Table8[],2,0)</f>
        <v>168000</v>
      </c>
      <c r="K594">
        <f>ROUND(J594*VLOOKUP(F594,Sheet3!$A$106:$C$111,2,FALSE),0)</f>
        <v>53760</v>
      </c>
      <c r="L594">
        <f t="shared" si="63"/>
        <v>114240</v>
      </c>
      <c r="M594">
        <f t="shared" si="64"/>
        <v>68</v>
      </c>
      <c r="N594" t="str">
        <f t="shared" si="67"/>
        <v>Yes</v>
      </c>
      <c r="O594">
        <f t="shared" si="68"/>
        <v>0</v>
      </c>
      <c r="P594" t="str">
        <f t="shared" si="69"/>
        <v>Freedom Launch</v>
      </c>
      <c r="Q594" t="s">
        <v>124</v>
      </c>
    </row>
    <row r="595" spans="1:17" x14ac:dyDescent="0.3">
      <c r="A595">
        <v>594</v>
      </c>
      <c r="B595" t="s">
        <v>23</v>
      </c>
      <c r="C595" s="1">
        <v>45901</v>
      </c>
      <c r="D595" t="s">
        <v>28</v>
      </c>
      <c r="E595" t="s">
        <v>33</v>
      </c>
      <c r="F595" s="2" t="s">
        <v>40</v>
      </c>
      <c r="G595" t="str">
        <f t="shared" si="65"/>
        <v>Musk 12-USA</v>
      </c>
      <c r="H595">
        <f t="shared" si="66"/>
        <v>800</v>
      </c>
      <c r="I595">
        <f>VLOOKUP(G595,Table4[[SKU-COUNTRY2]:[Price in USD]],2,FALSE)</f>
        <v>105</v>
      </c>
      <c r="J595">
        <f>VLOOKUP(G595,Sheet3!$C$82:$I$100,MATCH(E595,Sheet3!C$82:H$82,0),FALSE) * VLOOKUP(C595,Table8[],2,0)</f>
        <v>84000</v>
      </c>
      <c r="K595">
        <f>ROUND(J595*VLOOKUP(F595,Sheet3!$A$106:$C$111,2,FALSE),0)</f>
        <v>25200</v>
      </c>
      <c r="L595">
        <f t="shared" si="63"/>
        <v>58800</v>
      </c>
      <c r="M595">
        <f t="shared" si="64"/>
        <v>70</v>
      </c>
      <c r="N595" t="str">
        <f t="shared" si="67"/>
        <v>Yes</v>
      </c>
      <c r="O595">
        <f t="shared" si="68"/>
        <v>0</v>
      </c>
      <c r="P595" t="str">
        <f t="shared" si="69"/>
        <v>Freedom Launch</v>
      </c>
      <c r="Q595" t="s">
        <v>124</v>
      </c>
    </row>
    <row r="596" spans="1:17" x14ac:dyDescent="0.3">
      <c r="A596">
        <v>595</v>
      </c>
      <c r="B596" t="s">
        <v>23</v>
      </c>
      <c r="C596" s="1">
        <v>45901</v>
      </c>
      <c r="D596" t="s">
        <v>28</v>
      </c>
      <c r="E596" t="s">
        <v>34</v>
      </c>
      <c r="F596" s="2" t="s">
        <v>35</v>
      </c>
      <c r="G596" t="str">
        <f t="shared" si="65"/>
        <v>Vanilla 28-USA</v>
      </c>
      <c r="H596">
        <f t="shared" si="66"/>
        <v>3733</v>
      </c>
      <c r="I596">
        <f>VLOOKUP(G596,Table4[[SKU-COUNTRY2]:[Price in USD]],2,FALSE)</f>
        <v>105</v>
      </c>
      <c r="J596">
        <f>VLOOKUP(G596,Sheet3!$C$82:$I$100,MATCH(E596,Sheet3!C$82:H$82,0),FALSE) * VLOOKUP(C596,Table8[],2,0)</f>
        <v>392000</v>
      </c>
      <c r="K596">
        <f>ROUND(J596*VLOOKUP(F596,Sheet3!$A$106:$C$111,2,FALSE),0)</f>
        <v>117600</v>
      </c>
      <c r="L596">
        <f t="shared" si="63"/>
        <v>274400</v>
      </c>
      <c r="M596">
        <f t="shared" si="64"/>
        <v>70</v>
      </c>
      <c r="N596" t="str">
        <f t="shared" si="67"/>
        <v>Yes</v>
      </c>
      <c r="O596">
        <f t="shared" si="68"/>
        <v>0</v>
      </c>
      <c r="P596" t="str">
        <f t="shared" si="69"/>
        <v>Freedom Launch</v>
      </c>
      <c r="Q596" t="s">
        <v>124</v>
      </c>
    </row>
    <row r="597" spans="1:17" x14ac:dyDescent="0.3">
      <c r="A597">
        <v>596</v>
      </c>
      <c r="B597" t="s">
        <v>23</v>
      </c>
      <c r="C597" s="1">
        <v>45901</v>
      </c>
      <c r="D597" t="s">
        <v>28</v>
      </c>
      <c r="E597" t="s">
        <v>34</v>
      </c>
      <c r="F597" s="2" t="s">
        <v>36</v>
      </c>
      <c r="G597" t="str">
        <f t="shared" si="65"/>
        <v>Eden Juicy Apple 01-USA</v>
      </c>
      <c r="H597">
        <f t="shared" si="66"/>
        <v>2133</v>
      </c>
      <c r="I597">
        <f>VLOOKUP(G597,Table4[[SKU-COUNTRY2]:[Price in USD]],2,FALSE)</f>
        <v>105</v>
      </c>
      <c r="J597">
        <f>VLOOKUP(G597,Sheet3!$C$82:$I$100,MATCH(E597,Sheet3!C$82:H$82,0),FALSE) * VLOOKUP(C597,Table8[],2,0)</f>
        <v>224000</v>
      </c>
      <c r="K597">
        <f>ROUND(J597*VLOOKUP(F597,Sheet3!$A$106:$C$111,2,FALSE),0)</f>
        <v>69440</v>
      </c>
      <c r="L597">
        <f t="shared" si="63"/>
        <v>154560</v>
      </c>
      <c r="M597">
        <f t="shared" si="64"/>
        <v>69</v>
      </c>
      <c r="N597" t="str">
        <f t="shared" si="67"/>
        <v>Yes</v>
      </c>
      <c r="O597">
        <f t="shared" si="68"/>
        <v>0</v>
      </c>
      <c r="P597" t="str">
        <f t="shared" si="69"/>
        <v>Freedom Launch</v>
      </c>
      <c r="Q597" t="s">
        <v>124</v>
      </c>
    </row>
    <row r="598" spans="1:17" x14ac:dyDescent="0.3">
      <c r="A598">
        <v>597</v>
      </c>
      <c r="B598" t="s">
        <v>23</v>
      </c>
      <c r="C598" s="1">
        <v>45901</v>
      </c>
      <c r="D598" t="s">
        <v>28</v>
      </c>
      <c r="E598" t="s">
        <v>34</v>
      </c>
      <c r="F598" s="2" t="s">
        <v>37</v>
      </c>
      <c r="G598" t="str">
        <f t="shared" si="65"/>
        <v>Oudgasm Tobacco Oud 04-USA</v>
      </c>
      <c r="H598">
        <f t="shared" si="66"/>
        <v>1440</v>
      </c>
      <c r="I598">
        <f>VLOOKUP(G598,Table4[[SKU-COUNTRY2]:[Price in USD]],2,FALSE)</f>
        <v>140</v>
      </c>
      <c r="J598">
        <f>VLOOKUP(G598,Sheet3!$C$82:$I$100,MATCH(E598,Sheet3!C$82:H$82,0),FALSE) * VLOOKUP(C598,Table8[],2,0)</f>
        <v>201600</v>
      </c>
      <c r="K598">
        <f>ROUND(J598*VLOOKUP(F598,Sheet3!$A$106:$C$111,2,FALSE),0)</f>
        <v>70560</v>
      </c>
      <c r="L598">
        <f t="shared" si="63"/>
        <v>131040</v>
      </c>
      <c r="M598">
        <f t="shared" si="64"/>
        <v>65</v>
      </c>
      <c r="N598" t="str">
        <f t="shared" si="67"/>
        <v>Yes</v>
      </c>
      <c r="O598">
        <f t="shared" si="68"/>
        <v>0</v>
      </c>
      <c r="P598" t="str">
        <f t="shared" si="69"/>
        <v>Freedom Launch</v>
      </c>
      <c r="Q598" t="s">
        <v>124</v>
      </c>
    </row>
    <row r="599" spans="1:17" x14ac:dyDescent="0.3">
      <c r="A599">
        <v>598</v>
      </c>
      <c r="B599" t="s">
        <v>23</v>
      </c>
      <c r="C599" s="1">
        <v>45901</v>
      </c>
      <c r="D599" t="s">
        <v>28</v>
      </c>
      <c r="E599" t="s">
        <v>34</v>
      </c>
      <c r="F599" s="2" t="s">
        <v>38</v>
      </c>
      <c r="G599" t="str">
        <f t="shared" si="65"/>
        <v>Yum Pistachio Gelato 33-USA</v>
      </c>
      <c r="H599">
        <f t="shared" si="66"/>
        <v>1280</v>
      </c>
      <c r="I599">
        <f>VLOOKUP(G599,Table4[[SKU-COUNTRY2]:[Price in USD]],2,FALSE)</f>
        <v>105</v>
      </c>
      <c r="J599">
        <f>VLOOKUP(G599,Sheet3!$C$82:$I$100,MATCH(E599,Sheet3!C$82:H$82,0),FALSE) * VLOOKUP(C599,Table8[],2,0)</f>
        <v>134400</v>
      </c>
      <c r="K599">
        <f>ROUND(J599*VLOOKUP(F599,Sheet3!$A$106:$C$111,2,FALSE),0)</f>
        <v>41664</v>
      </c>
      <c r="L599">
        <f t="shared" si="63"/>
        <v>92736</v>
      </c>
      <c r="M599">
        <f t="shared" si="64"/>
        <v>69</v>
      </c>
      <c r="N599" t="str">
        <f t="shared" si="67"/>
        <v>Yes</v>
      </c>
      <c r="O599">
        <f t="shared" si="68"/>
        <v>0</v>
      </c>
      <c r="P599" t="str">
        <f t="shared" si="69"/>
        <v>Freedom Launch</v>
      </c>
      <c r="Q599" t="s">
        <v>124</v>
      </c>
    </row>
    <row r="600" spans="1:17" x14ac:dyDescent="0.3">
      <c r="A600">
        <v>599</v>
      </c>
      <c r="B600" t="s">
        <v>23</v>
      </c>
      <c r="C600" s="1">
        <v>45901</v>
      </c>
      <c r="D600" t="s">
        <v>28</v>
      </c>
      <c r="E600" t="s">
        <v>34</v>
      </c>
      <c r="F600" s="2" t="s">
        <v>39</v>
      </c>
      <c r="G600" t="str">
        <f t="shared" si="65"/>
        <v>Freedom Musk Santal 34-USA</v>
      </c>
      <c r="H600">
        <f t="shared" si="66"/>
        <v>1067</v>
      </c>
      <c r="I600">
        <f>VLOOKUP(G600,Table4[[SKU-COUNTRY2]:[Price in USD]],2,FALSE)</f>
        <v>105</v>
      </c>
      <c r="J600">
        <f>VLOOKUP(G600,Sheet3!$C$82:$I$100,MATCH(E600,Sheet3!C$82:H$82,0),FALSE) * VLOOKUP(C600,Table8[],2,0)</f>
        <v>112000</v>
      </c>
      <c r="K600">
        <f>ROUND(J600*VLOOKUP(F600,Sheet3!$A$106:$C$111,2,FALSE),0)</f>
        <v>35840</v>
      </c>
      <c r="L600">
        <f t="shared" si="63"/>
        <v>76160</v>
      </c>
      <c r="M600">
        <f t="shared" si="64"/>
        <v>68</v>
      </c>
      <c r="N600" t="str">
        <f t="shared" si="67"/>
        <v>Yes</v>
      </c>
      <c r="O600">
        <f t="shared" si="68"/>
        <v>0</v>
      </c>
      <c r="P600" t="str">
        <f t="shared" si="69"/>
        <v>Freedom Launch</v>
      </c>
      <c r="Q600" t="s">
        <v>124</v>
      </c>
    </row>
    <row r="601" spans="1:17" x14ac:dyDescent="0.3">
      <c r="A601">
        <v>600</v>
      </c>
      <c r="B601" t="s">
        <v>23</v>
      </c>
      <c r="C601" s="1">
        <v>45901</v>
      </c>
      <c r="D601" t="s">
        <v>28</v>
      </c>
      <c r="E601" t="s">
        <v>34</v>
      </c>
      <c r="F601" s="2" t="s">
        <v>40</v>
      </c>
      <c r="G601" t="str">
        <f t="shared" si="65"/>
        <v>Musk 12-USA</v>
      </c>
      <c r="H601">
        <f t="shared" si="66"/>
        <v>533</v>
      </c>
      <c r="I601">
        <f>VLOOKUP(G601,Table4[[SKU-COUNTRY2]:[Price in USD]],2,FALSE)</f>
        <v>105</v>
      </c>
      <c r="J601">
        <f>VLOOKUP(G601,Sheet3!$C$82:$I$100,MATCH(E601,Sheet3!C$82:H$82,0),FALSE) * VLOOKUP(C601,Table8[],2,0)</f>
        <v>56000</v>
      </c>
      <c r="K601">
        <f>ROUND(J601*VLOOKUP(F601,Sheet3!$A$106:$C$111,2,FALSE),0)</f>
        <v>16800</v>
      </c>
      <c r="L601">
        <f t="shared" si="63"/>
        <v>39200</v>
      </c>
      <c r="M601">
        <f t="shared" si="64"/>
        <v>70</v>
      </c>
      <c r="N601" t="str">
        <f t="shared" si="67"/>
        <v>Yes</v>
      </c>
      <c r="O601">
        <f t="shared" si="68"/>
        <v>0</v>
      </c>
      <c r="P601" t="str">
        <f t="shared" si="69"/>
        <v>Freedom Launch</v>
      </c>
      <c r="Q601" t="s">
        <v>124</v>
      </c>
    </row>
    <row r="602" spans="1:17" x14ac:dyDescent="0.3">
      <c r="A602">
        <v>601</v>
      </c>
      <c r="B602" t="s">
        <v>23</v>
      </c>
      <c r="C602" s="1">
        <v>45901</v>
      </c>
      <c r="D602" t="s">
        <v>27</v>
      </c>
      <c r="E602" t="s">
        <v>32</v>
      </c>
      <c r="F602" s="2" t="s">
        <v>35</v>
      </c>
      <c r="G602" t="str">
        <f t="shared" si="65"/>
        <v>Vanilla 28-UK</v>
      </c>
      <c r="H602">
        <f t="shared" si="66"/>
        <v>2362</v>
      </c>
      <c r="I602">
        <f>VLOOKUP(G602,Table4[[SKU-COUNTRY2]:[Price in USD]],2,FALSE)</f>
        <v>101.6</v>
      </c>
      <c r="J602">
        <f>VLOOKUP(G602,Sheet3!$C$82:$I$100,MATCH(E602,Sheet3!C$82:H$82,0),FALSE) * VLOOKUP(C602,Table8[],2,0)</f>
        <v>240000</v>
      </c>
      <c r="K602">
        <f>ROUND(J602*VLOOKUP(F602,Sheet3!$A$106:$C$111,2,FALSE),0)</f>
        <v>72000</v>
      </c>
      <c r="L602">
        <f t="shared" si="63"/>
        <v>168000</v>
      </c>
      <c r="M602">
        <f t="shared" si="64"/>
        <v>70</v>
      </c>
      <c r="N602" t="str">
        <f t="shared" si="67"/>
        <v>Yes</v>
      </c>
      <c r="O602">
        <f t="shared" si="68"/>
        <v>0</v>
      </c>
      <c r="P602" t="str">
        <f t="shared" si="69"/>
        <v>Freedom Launch</v>
      </c>
      <c r="Q602" t="s">
        <v>124</v>
      </c>
    </row>
    <row r="603" spans="1:17" x14ac:dyDescent="0.3">
      <c r="A603">
        <v>602</v>
      </c>
      <c r="B603" t="s">
        <v>23</v>
      </c>
      <c r="C603" s="1">
        <v>45901</v>
      </c>
      <c r="D603" t="s">
        <v>27</v>
      </c>
      <c r="E603" t="s">
        <v>32</v>
      </c>
      <c r="F603" s="2" t="s">
        <v>36</v>
      </c>
      <c r="G603" t="str">
        <f t="shared" si="65"/>
        <v>Eden Juicy Apple 01-UK</v>
      </c>
      <c r="H603">
        <f t="shared" si="66"/>
        <v>1732</v>
      </c>
      <c r="I603">
        <f>VLOOKUP(G603,Table4[[SKU-COUNTRY2]:[Price in USD]],2,FALSE)</f>
        <v>101.6</v>
      </c>
      <c r="J603">
        <f>VLOOKUP(G603,Sheet3!$C$82:$I$100,MATCH(E603,Sheet3!C$82:H$82,0),FALSE) * VLOOKUP(C603,Table8[],2,0)</f>
        <v>176000</v>
      </c>
      <c r="K603">
        <f>ROUND(J603*VLOOKUP(F603,Sheet3!$A$106:$C$111,2,FALSE),0)</f>
        <v>54560</v>
      </c>
      <c r="L603">
        <f t="shared" si="63"/>
        <v>121440</v>
      </c>
      <c r="M603">
        <f t="shared" si="64"/>
        <v>69</v>
      </c>
      <c r="N603" t="str">
        <f t="shared" si="67"/>
        <v>Yes</v>
      </c>
      <c r="O603">
        <f t="shared" si="68"/>
        <v>0</v>
      </c>
      <c r="P603" t="str">
        <f t="shared" si="69"/>
        <v>Freedom Launch</v>
      </c>
      <c r="Q603" t="s">
        <v>124</v>
      </c>
    </row>
    <row r="604" spans="1:17" x14ac:dyDescent="0.3">
      <c r="A604">
        <v>603</v>
      </c>
      <c r="B604" t="s">
        <v>23</v>
      </c>
      <c r="C604" s="1">
        <v>45901</v>
      </c>
      <c r="D604" t="s">
        <v>27</v>
      </c>
      <c r="E604" t="s">
        <v>32</v>
      </c>
      <c r="F604" s="2" t="s">
        <v>37</v>
      </c>
      <c r="G604" t="str">
        <f t="shared" si="65"/>
        <v>Oudgasm Tobacco Oud 04-UK</v>
      </c>
      <c r="H604">
        <f t="shared" si="66"/>
        <v>953</v>
      </c>
      <c r="I604">
        <f>VLOOKUP(G604,Table4[[SKU-COUNTRY2]:[Price in USD]],2,FALSE)</f>
        <v>151.13</v>
      </c>
      <c r="J604">
        <f>VLOOKUP(G604,Sheet3!$C$82:$I$100,MATCH(E604,Sheet3!C$82:H$82,0),FALSE) * VLOOKUP(C604,Table8[],2,0)</f>
        <v>144000</v>
      </c>
      <c r="K604">
        <f>ROUND(J604*VLOOKUP(F604,Sheet3!$A$106:$C$111,2,FALSE),0)</f>
        <v>50400</v>
      </c>
      <c r="L604">
        <f t="shared" si="63"/>
        <v>93600</v>
      </c>
      <c r="M604">
        <f t="shared" si="64"/>
        <v>65</v>
      </c>
      <c r="N604" t="str">
        <f t="shared" si="67"/>
        <v>Yes</v>
      </c>
      <c r="O604">
        <f t="shared" si="68"/>
        <v>0</v>
      </c>
      <c r="P604" t="str">
        <f t="shared" si="69"/>
        <v>Freedom Launch</v>
      </c>
      <c r="Q604" t="s">
        <v>124</v>
      </c>
    </row>
    <row r="605" spans="1:17" x14ac:dyDescent="0.3">
      <c r="A605">
        <v>604</v>
      </c>
      <c r="B605" t="s">
        <v>23</v>
      </c>
      <c r="C605" s="1">
        <v>45901</v>
      </c>
      <c r="D605" t="s">
        <v>27</v>
      </c>
      <c r="E605" t="s">
        <v>32</v>
      </c>
      <c r="F605" s="2" t="s">
        <v>38</v>
      </c>
      <c r="G605" t="str">
        <f t="shared" si="65"/>
        <v>Yum Pistachio Gelato 33-UK</v>
      </c>
      <c r="H605">
        <f t="shared" si="66"/>
        <v>1024</v>
      </c>
      <c r="I605">
        <f>VLOOKUP(G605,Table4[[SKU-COUNTRY2]:[Price in USD]],2,FALSE)</f>
        <v>101.6</v>
      </c>
      <c r="J605">
        <f>VLOOKUP(G605,Sheet3!$C$82:$I$100,MATCH(E605,Sheet3!C$82:H$82,0),FALSE) * VLOOKUP(C605,Table8[],2,0)</f>
        <v>104000</v>
      </c>
      <c r="K605">
        <f>ROUND(J605*VLOOKUP(F605,Sheet3!$A$106:$C$111,2,FALSE),0)</f>
        <v>32240</v>
      </c>
      <c r="L605">
        <f t="shared" si="63"/>
        <v>71760</v>
      </c>
      <c r="M605">
        <f t="shared" si="64"/>
        <v>69</v>
      </c>
      <c r="N605" t="str">
        <f t="shared" si="67"/>
        <v>Yes</v>
      </c>
      <c r="O605">
        <f t="shared" si="68"/>
        <v>0</v>
      </c>
      <c r="P605" t="str">
        <f t="shared" si="69"/>
        <v>Freedom Launch</v>
      </c>
      <c r="Q605" t="s">
        <v>124</v>
      </c>
    </row>
    <row r="606" spans="1:17" x14ac:dyDescent="0.3">
      <c r="A606">
        <v>605</v>
      </c>
      <c r="B606" t="s">
        <v>23</v>
      </c>
      <c r="C606" s="1">
        <v>45901</v>
      </c>
      <c r="D606" t="s">
        <v>27</v>
      </c>
      <c r="E606" t="s">
        <v>32</v>
      </c>
      <c r="F606" s="2" t="s">
        <v>39</v>
      </c>
      <c r="G606" t="str">
        <f t="shared" si="65"/>
        <v>Freedom Musk Santal 34-UK</v>
      </c>
      <c r="H606">
        <f t="shared" si="66"/>
        <v>787</v>
      </c>
      <c r="I606">
        <f>VLOOKUP(G606,Table4[[SKU-COUNTRY2]:[Price in USD]],2,FALSE)</f>
        <v>101.6</v>
      </c>
      <c r="J606">
        <f>VLOOKUP(G606,Sheet3!$C$82:$I$100,MATCH(E606,Sheet3!C$82:H$82,0),FALSE) * VLOOKUP(C606,Table8[],2,0)</f>
        <v>80000</v>
      </c>
      <c r="K606">
        <f>ROUND(J606*VLOOKUP(F606,Sheet3!$A$106:$C$111,2,FALSE),0)</f>
        <v>25600</v>
      </c>
      <c r="L606">
        <f t="shared" si="63"/>
        <v>54400</v>
      </c>
      <c r="M606">
        <f t="shared" si="64"/>
        <v>68</v>
      </c>
      <c r="N606" t="str">
        <f t="shared" si="67"/>
        <v>Yes</v>
      </c>
      <c r="O606">
        <f t="shared" si="68"/>
        <v>0</v>
      </c>
      <c r="P606" t="str">
        <f t="shared" si="69"/>
        <v>Freedom Launch</v>
      </c>
      <c r="Q606" t="s">
        <v>124</v>
      </c>
    </row>
    <row r="607" spans="1:17" x14ac:dyDescent="0.3">
      <c r="A607">
        <v>606</v>
      </c>
      <c r="B607" t="s">
        <v>23</v>
      </c>
      <c r="C607" s="1">
        <v>45901</v>
      </c>
      <c r="D607" t="s">
        <v>27</v>
      </c>
      <c r="E607" t="s">
        <v>32</v>
      </c>
      <c r="F607" s="2" t="s">
        <v>40</v>
      </c>
      <c r="G607" t="str">
        <f t="shared" si="65"/>
        <v>Musk 12-UK</v>
      </c>
      <c r="H607">
        <f t="shared" si="66"/>
        <v>551</v>
      </c>
      <c r="I607">
        <f>VLOOKUP(G607,Table4[[SKU-COUNTRY2]:[Price in USD]],2,FALSE)</f>
        <v>101.6</v>
      </c>
      <c r="J607">
        <f>VLOOKUP(G607,Sheet3!$C$82:$I$100,MATCH(E607,Sheet3!C$82:H$82,0),FALSE) * VLOOKUP(C607,Table8[],2,0)</f>
        <v>56000.000000000007</v>
      </c>
      <c r="K607">
        <f>ROUND(J607*VLOOKUP(F607,Sheet3!$A$106:$C$111,2,FALSE),0)</f>
        <v>16800</v>
      </c>
      <c r="L607">
        <f t="shared" si="63"/>
        <v>39200.000000000007</v>
      </c>
      <c r="M607">
        <f t="shared" si="64"/>
        <v>70</v>
      </c>
      <c r="N607" t="str">
        <f t="shared" si="67"/>
        <v>Yes</v>
      </c>
      <c r="O607">
        <f t="shared" si="68"/>
        <v>0</v>
      </c>
      <c r="P607" t="str">
        <f t="shared" si="69"/>
        <v>Freedom Launch</v>
      </c>
      <c r="Q607" t="s">
        <v>124</v>
      </c>
    </row>
    <row r="608" spans="1:17" x14ac:dyDescent="0.3">
      <c r="A608">
        <v>607</v>
      </c>
      <c r="B608" t="s">
        <v>23</v>
      </c>
      <c r="C608" s="1">
        <v>45901</v>
      </c>
      <c r="D608" t="s">
        <v>27</v>
      </c>
      <c r="E608" t="s">
        <v>31</v>
      </c>
      <c r="F608" s="2" t="s">
        <v>35</v>
      </c>
      <c r="G608" t="str">
        <f t="shared" si="65"/>
        <v>Vanilla 28-UK</v>
      </c>
      <c r="H608">
        <f t="shared" si="66"/>
        <v>1181</v>
      </c>
      <c r="I608">
        <f>VLOOKUP(G608,Table4[[SKU-COUNTRY2]:[Price in USD]],2,FALSE)</f>
        <v>101.6</v>
      </c>
      <c r="J608">
        <f>VLOOKUP(G608,Sheet3!$C$82:$I$100,MATCH(E608,Sheet3!C$82:H$82,0),FALSE) * VLOOKUP(C608,Table8[],2,0)</f>
        <v>120000</v>
      </c>
      <c r="K608">
        <f>ROUND(J608*VLOOKUP(F608,Sheet3!$A$106:$C$111,2,FALSE),0)</f>
        <v>36000</v>
      </c>
      <c r="L608">
        <f t="shared" si="63"/>
        <v>84000</v>
      </c>
      <c r="M608">
        <f t="shared" si="64"/>
        <v>70</v>
      </c>
      <c r="N608" t="str">
        <f t="shared" si="67"/>
        <v>Yes</v>
      </c>
      <c r="O608">
        <f t="shared" si="68"/>
        <v>0</v>
      </c>
      <c r="P608" t="str">
        <f t="shared" si="69"/>
        <v>Freedom Launch</v>
      </c>
      <c r="Q608" t="s">
        <v>124</v>
      </c>
    </row>
    <row r="609" spans="1:17" x14ac:dyDescent="0.3">
      <c r="A609">
        <v>608</v>
      </c>
      <c r="B609" t="s">
        <v>23</v>
      </c>
      <c r="C609" s="1">
        <v>45901</v>
      </c>
      <c r="D609" t="s">
        <v>27</v>
      </c>
      <c r="E609" t="s">
        <v>31</v>
      </c>
      <c r="F609" s="2" t="s">
        <v>36</v>
      </c>
      <c r="G609" t="str">
        <f t="shared" si="65"/>
        <v>Eden Juicy Apple 01-UK</v>
      </c>
      <c r="H609">
        <f t="shared" si="66"/>
        <v>866</v>
      </c>
      <c r="I609">
        <f>VLOOKUP(G609,Table4[[SKU-COUNTRY2]:[Price in USD]],2,FALSE)</f>
        <v>101.6</v>
      </c>
      <c r="J609">
        <f>VLOOKUP(G609,Sheet3!$C$82:$I$100,MATCH(E609,Sheet3!C$82:H$82,0),FALSE) * VLOOKUP(C609,Table8[],2,0)</f>
        <v>88000</v>
      </c>
      <c r="K609">
        <f>ROUND(J609*VLOOKUP(F609,Sheet3!$A$106:$C$111,2,FALSE),0)</f>
        <v>27280</v>
      </c>
      <c r="L609">
        <f t="shared" si="63"/>
        <v>60720</v>
      </c>
      <c r="M609">
        <f t="shared" si="64"/>
        <v>69</v>
      </c>
      <c r="N609" t="str">
        <f t="shared" si="67"/>
        <v>Yes</v>
      </c>
      <c r="O609">
        <f t="shared" si="68"/>
        <v>0</v>
      </c>
      <c r="P609" t="str">
        <f t="shared" si="69"/>
        <v>Freedom Launch</v>
      </c>
      <c r="Q609" t="s">
        <v>124</v>
      </c>
    </row>
    <row r="610" spans="1:17" x14ac:dyDescent="0.3">
      <c r="A610">
        <v>609</v>
      </c>
      <c r="B610" t="s">
        <v>23</v>
      </c>
      <c r="C610" s="1">
        <v>45901</v>
      </c>
      <c r="D610" t="s">
        <v>27</v>
      </c>
      <c r="E610" t="s">
        <v>31</v>
      </c>
      <c r="F610" s="2" t="s">
        <v>37</v>
      </c>
      <c r="G610" t="str">
        <f t="shared" si="65"/>
        <v>Oudgasm Tobacco Oud 04-UK</v>
      </c>
      <c r="H610">
        <f t="shared" si="66"/>
        <v>476</v>
      </c>
      <c r="I610">
        <f>VLOOKUP(G610,Table4[[SKU-COUNTRY2]:[Price in USD]],2,FALSE)</f>
        <v>151.13</v>
      </c>
      <c r="J610">
        <f>VLOOKUP(G610,Sheet3!$C$82:$I$100,MATCH(E610,Sheet3!C$82:H$82,0),FALSE) * VLOOKUP(C610,Table8[],2,0)</f>
        <v>72000</v>
      </c>
      <c r="K610">
        <f>ROUND(J610*VLOOKUP(F610,Sheet3!$A$106:$C$111,2,FALSE),0)</f>
        <v>25200</v>
      </c>
      <c r="L610">
        <f t="shared" si="63"/>
        <v>46800</v>
      </c>
      <c r="M610">
        <f t="shared" si="64"/>
        <v>65</v>
      </c>
      <c r="N610" t="str">
        <f t="shared" si="67"/>
        <v>Yes</v>
      </c>
      <c r="O610">
        <f t="shared" si="68"/>
        <v>0</v>
      </c>
      <c r="P610" t="str">
        <f t="shared" si="69"/>
        <v>Freedom Launch</v>
      </c>
      <c r="Q610" t="s">
        <v>124</v>
      </c>
    </row>
    <row r="611" spans="1:17" x14ac:dyDescent="0.3">
      <c r="A611">
        <v>610</v>
      </c>
      <c r="B611" t="s">
        <v>23</v>
      </c>
      <c r="C611" s="1">
        <v>45901</v>
      </c>
      <c r="D611" t="s">
        <v>27</v>
      </c>
      <c r="E611" t="s">
        <v>31</v>
      </c>
      <c r="F611" s="2" t="s">
        <v>38</v>
      </c>
      <c r="G611" t="str">
        <f t="shared" si="65"/>
        <v>Yum Pistachio Gelato 33-UK</v>
      </c>
      <c r="H611">
        <f t="shared" si="66"/>
        <v>512</v>
      </c>
      <c r="I611">
        <f>VLOOKUP(G611,Table4[[SKU-COUNTRY2]:[Price in USD]],2,FALSE)</f>
        <v>101.6</v>
      </c>
      <c r="J611">
        <f>VLOOKUP(G611,Sheet3!$C$82:$I$100,MATCH(E611,Sheet3!C$82:H$82,0),FALSE) * VLOOKUP(C611,Table8[],2,0)</f>
        <v>52000</v>
      </c>
      <c r="K611">
        <f>ROUND(J611*VLOOKUP(F611,Sheet3!$A$106:$C$111,2,FALSE),0)</f>
        <v>16120</v>
      </c>
      <c r="L611">
        <f t="shared" si="63"/>
        <v>35880</v>
      </c>
      <c r="M611">
        <f t="shared" si="64"/>
        <v>69</v>
      </c>
      <c r="N611" t="str">
        <f t="shared" si="67"/>
        <v>Yes</v>
      </c>
      <c r="O611">
        <f t="shared" si="68"/>
        <v>0</v>
      </c>
      <c r="P611" t="str">
        <f t="shared" si="69"/>
        <v>Freedom Launch</v>
      </c>
      <c r="Q611" t="s">
        <v>124</v>
      </c>
    </row>
    <row r="612" spans="1:17" x14ac:dyDescent="0.3">
      <c r="A612">
        <v>611</v>
      </c>
      <c r="B612" t="s">
        <v>23</v>
      </c>
      <c r="C612" s="1">
        <v>45901</v>
      </c>
      <c r="D612" t="s">
        <v>27</v>
      </c>
      <c r="E612" t="s">
        <v>31</v>
      </c>
      <c r="F612" s="2" t="s">
        <v>39</v>
      </c>
      <c r="G612" t="str">
        <f t="shared" si="65"/>
        <v>Freedom Musk Santal 34-UK</v>
      </c>
      <c r="H612">
        <f t="shared" si="66"/>
        <v>394</v>
      </c>
      <c r="I612">
        <f>VLOOKUP(G612,Table4[[SKU-COUNTRY2]:[Price in USD]],2,FALSE)</f>
        <v>101.6</v>
      </c>
      <c r="J612">
        <f>VLOOKUP(G612,Sheet3!$C$82:$I$100,MATCH(E612,Sheet3!C$82:H$82,0),FALSE) * VLOOKUP(C612,Table8[],2,0)</f>
        <v>40000</v>
      </c>
      <c r="K612">
        <f>ROUND(J612*VLOOKUP(F612,Sheet3!$A$106:$C$111,2,FALSE),0)</f>
        <v>12800</v>
      </c>
      <c r="L612">
        <f t="shared" si="63"/>
        <v>27200</v>
      </c>
      <c r="M612">
        <f t="shared" si="64"/>
        <v>68</v>
      </c>
      <c r="N612" t="str">
        <f t="shared" si="67"/>
        <v>Yes</v>
      </c>
      <c r="O612">
        <f t="shared" si="68"/>
        <v>0</v>
      </c>
      <c r="P612" t="str">
        <f t="shared" si="69"/>
        <v>Freedom Launch</v>
      </c>
      <c r="Q612" t="s">
        <v>124</v>
      </c>
    </row>
    <row r="613" spans="1:17" x14ac:dyDescent="0.3">
      <c r="A613">
        <v>612</v>
      </c>
      <c r="B613" t="s">
        <v>23</v>
      </c>
      <c r="C613" s="1">
        <v>45901</v>
      </c>
      <c r="D613" t="s">
        <v>27</v>
      </c>
      <c r="E613" t="s">
        <v>31</v>
      </c>
      <c r="F613" s="2" t="s">
        <v>40</v>
      </c>
      <c r="G613" t="str">
        <f t="shared" si="65"/>
        <v>Musk 12-UK</v>
      </c>
      <c r="H613">
        <f t="shared" si="66"/>
        <v>276</v>
      </c>
      <c r="I613">
        <f>VLOOKUP(G613,Table4[[SKU-COUNTRY2]:[Price in USD]],2,FALSE)</f>
        <v>101.6</v>
      </c>
      <c r="J613">
        <f>VLOOKUP(G613,Sheet3!$C$82:$I$100,MATCH(E613,Sheet3!C$82:H$82,0),FALSE) * VLOOKUP(C613,Table8[],2,0)</f>
        <v>28000.000000000004</v>
      </c>
      <c r="K613">
        <f>ROUND(J613*VLOOKUP(F613,Sheet3!$A$106:$C$111,2,FALSE),0)</f>
        <v>8400</v>
      </c>
      <c r="L613">
        <f t="shared" si="63"/>
        <v>19600.000000000004</v>
      </c>
      <c r="M613">
        <f t="shared" si="64"/>
        <v>70</v>
      </c>
      <c r="N613" t="str">
        <f t="shared" si="67"/>
        <v>Yes</v>
      </c>
      <c r="O613">
        <f t="shared" si="68"/>
        <v>0</v>
      </c>
      <c r="P613" t="str">
        <f t="shared" si="69"/>
        <v>Freedom Launch</v>
      </c>
      <c r="Q613" t="s">
        <v>124</v>
      </c>
    </row>
    <row r="614" spans="1:17" x14ac:dyDescent="0.3">
      <c r="A614">
        <v>613</v>
      </c>
      <c r="B614" t="s">
        <v>23</v>
      </c>
      <c r="C614" s="1">
        <v>45901</v>
      </c>
      <c r="D614" t="s">
        <v>27</v>
      </c>
      <c r="E614" t="s">
        <v>33</v>
      </c>
      <c r="F614" s="2" t="s">
        <v>35</v>
      </c>
      <c r="G614" t="str">
        <f t="shared" si="65"/>
        <v>Vanilla 28-UK</v>
      </c>
      <c r="H614">
        <f t="shared" si="66"/>
        <v>886</v>
      </c>
      <c r="I614">
        <f>VLOOKUP(G614,Table4[[SKU-COUNTRY2]:[Price in USD]],2,FALSE)</f>
        <v>101.6</v>
      </c>
      <c r="J614">
        <f>VLOOKUP(G614,Sheet3!$C$82:$I$100,MATCH(E614,Sheet3!C$82:H$82,0),FALSE) * VLOOKUP(C614,Table8[],2,0)</f>
        <v>90000</v>
      </c>
      <c r="K614">
        <f>ROUND(J614*VLOOKUP(F614,Sheet3!$A$106:$C$111,2,FALSE),0)</f>
        <v>27000</v>
      </c>
      <c r="L614">
        <f t="shared" si="63"/>
        <v>63000</v>
      </c>
      <c r="M614">
        <f t="shared" si="64"/>
        <v>70</v>
      </c>
      <c r="N614" t="str">
        <f t="shared" si="67"/>
        <v>Yes</v>
      </c>
      <c r="O614">
        <f t="shared" si="68"/>
        <v>0</v>
      </c>
      <c r="P614" t="str">
        <f t="shared" si="69"/>
        <v>Freedom Launch</v>
      </c>
      <c r="Q614" t="s">
        <v>124</v>
      </c>
    </row>
    <row r="615" spans="1:17" x14ac:dyDescent="0.3">
      <c r="A615">
        <v>614</v>
      </c>
      <c r="B615" t="s">
        <v>23</v>
      </c>
      <c r="C615" s="1">
        <v>45901</v>
      </c>
      <c r="D615" t="s">
        <v>27</v>
      </c>
      <c r="E615" t="s">
        <v>33</v>
      </c>
      <c r="F615" s="2" t="s">
        <v>36</v>
      </c>
      <c r="G615" t="str">
        <f t="shared" si="65"/>
        <v>Eden Juicy Apple 01-UK</v>
      </c>
      <c r="H615">
        <f t="shared" si="66"/>
        <v>650</v>
      </c>
      <c r="I615">
        <f>VLOOKUP(G615,Table4[[SKU-COUNTRY2]:[Price in USD]],2,FALSE)</f>
        <v>101.6</v>
      </c>
      <c r="J615">
        <f>VLOOKUP(G615,Sheet3!$C$82:$I$100,MATCH(E615,Sheet3!C$82:H$82,0),FALSE) * VLOOKUP(C615,Table8[],2,0)</f>
        <v>66000</v>
      </c>
      <c r="K615">
        <f>ROUND(J615*VLOOKUP(F615,Sheet3!$A$106:$C$111,2,FALSE),0)</f>
        <v>20460</v>
      </c>
      <c r="L615">
        <f t="shared" si="63"/>
        <v>45540</v>
      </c>
      <c r="M615">
        <f t="shared" si="64"/>
        <v>69</v>
      </c>
      <c r="N615" t="str">
        <f t="shared" si="67"/>
        <v>Yes</v>
      </c>
      <c r="O615">
        <f t="shared" si="68"/>
        <v>0</v>
      </c>
      <c r="P615" t="str">
        <f t="shared" si="69"/>
        <v>Freedom Launch</v>
      </c>
      <c r="Q615" t="s">
        <v>124</v>
      </c>
    </row>
    <row r="616" spans="1:17" x14ac:dyDescent="0.3">
      <c r="A616">
        <v>615</v>
      </c>
      <c r="B616" t="s">
        <v>23</v>
      </c>
      <c r="C616" s="1">
        <v>45901</v>
      </c>
      <c r="D616" t="s">
        <v>27</v>
      </c>
      <c r="E616" t="s">
        <v>33</v>
      </c>
      <c r="F616" s="2" t="s">
        <v>37</v>
      </c>
      <c r="G616" t="str">
        <f t="shared" si="65"/>
        <v>Oudgasm Tobacco Oud 04-UK</v>
      </c>
      <c r="H616">
        <f t="shared" si="66"/>
        <v>357</v>
      </c>
      <c r="I616">
        <f>VLOOKUP(G616,Table4[[SKU-COUNTRY2]:[Price in USD]],2,FALSE)</f>
        <v>151.13</v>
      </c>
      <c r="J616">
        <f>VLOOKUP(G616,Sheet3!$C$82:$I$100,MATCH(E616,Sheet3!C$82:H$82,0),FALSE) * VLOOKUP(C616,Table8[],2,0)</f>
        <v>54000</v>
      </c>
      <c r="K616">
        <f>ROUND(J616*VLOOKUP(F616,Sheet3!$A$106:$C$111,2,FALSE),0)</f>
        <v>18900</v>
      </c>
      <c r="L616">
        <f t="shared" si="63"/>
        <v>35100</v>
      </c>
      <c r="M616">
        <f t="shared" si="64"/>
        <v>65</v>
      </c>
      <c r="N616" t="str">
        <f t="shared" si="67"/>
        <v>Yes</v>
      </c>
      <c r="O616">
        <f t="shared" si="68"/>
        <v>0</v>
      </c>
      <c r="P616" t="str">
        <f t="shared" si="69"/>
        <v>Freedom Launch</v>
      </c>
      <c r="Q616" t="s">
        <v>124</v>
      </c>
    </row>
    <row r="617" spans="1:17" x14ac:dyDescent="0.3">
      <c r="A617">
        <v>616</v>
      </c>
      <c r="B617" t="s">
        <v>23</v>
      </c>
      <c r="C617" s="1">
        <v>45901</v>
      </c>
      <c r="D617" t="s">
        <v>27</v>
      </c>
      <c r="E617" t="s">
        <v>33</v>
      </c>
      <c r="F617" s="2" t="s">
        <v>38</v>
      </c>
      <c r="G617" t="str">
        <f t="shared" si="65"/>
        <v>Yum Pistachio Gelato 33-UK</v>
      </c>
      <c r="H617">
        <f t="shared" si="66"/>
        <v>384</v>
      </c>
      <c r="I617">
        <f>VLOOKUP(G617,Table4[[SKU-COUNTRY2]:[Price in USD]],2,FALSE)</f>
        <v>101.6</v>
      </c>
      <c r="J617">
        <f>VLOOKUP(G617,Sheet3!$C$82:$I$100,MATCH(E617,Sheet3!C$82:H$82,0),FALSE) * VLOOKUP(C617,Table8[],2,0)</f>
        <v>39000</v>
      </c>
      <c r="K617">
        <f>ROUND(J617*VLOOKUP(F617,Sheet3!$A$106:$C$111,2,FALSE),0)</f>
        <v>12090</v>
      </c>
      <c r="L617">
        <f t="shared" si="63"/>
        <v>26910</v>
      </c>
      <c r="M617">
        <f t="shared" si="64"/>
        <v>69</v>
      </c>
      <c r="N617" t="str">
        <f t="shared" si="67"/>
        <v>Yes</v>
      </c>
      <c r="O617">
        <f t="shared" si="68"/>
        <v>0</v>
      </c>
      <c r="P617" t="str">
        <f t="shared" si="69"/>
        <v>Freedom Launch</v>
      </c>
      <c r="Q617" t="s">
        <v>124</v>
      </c>
    </row>
    <row r="618" spans="1:17" x14ac:dyDescent="0.3">
      <c r="A618">
        <v>617</v>
      </c>
      <c r="B618" t="s">
        <v>23</v>
      </c>
      <c r="C618" s="1">
        <v>45901</v>
      </c>
      <c r="D618" t="s">
        <v>27</v>
      </c>
      <c r="E618" t="s">
        <v>33</v>
      </c>
      <c r="F618" s="2" t="s">
        <v>39</v>
      </c>
      <c r="G618" t="str">
        <f t="shared" si="65"/>
        <v>Freedom Musk Santal 34-UK</v>
      </c>
      <c r="H618">
        <f t="shared" si="66"/>
        <v>295</v>
      </c>
      <c r="I618">
        <f>VLOOKUP(G618,Table4[[SKU-COUNTRY2]:[Price in USD]],2,FALSE)</f>
        <v>101.6</v>
      </c>
      <c r="J618">
        <f>VLOOKUP(G618,Sheet3!$C$82:$I$100,MATCH(E618,Sheet3!C$82:H$82,0),FALSE) * VLOOKUP(C618,Table8[],2,0)</f>
        <v>30000</v>
      </c>
      <c r="K618">
        <f>ROUND(J618*VLOOKUP(F618,Sheet3!$A$106:$C$111,2,FALSE),0)</f>
        <v>9600</v>
      </c>
      <c r="L618">
        <f t="shared" si="63"/>
        <v>20400</v>
      </c>
      <c r="M618">
        <f t="shared" si="64"/>
        <v>68</v>
      </c>
      <c r="N618" t="str">
        <f t="shared" si="67"/>
        <v>Yes</v>
      </c>
      <c r="O618">
        <f t="shared" si="68"/>
        <v>0</v>
      </c>
      <c r="P618" t="str">
        <f t="shared" si="69"/>
        <v>Freedom Launch</v>
      </c>
      <c r="Q618" t="s">
        <v>124</v>
      </c>
    </row>
    <row r="619" spans="1:17" x14ac:dyDescent="0.3">
      <c r="A619">
        <v>618</v>
      </c>
      <c r="B619" t="s">
        <v>23</v>
      </c>
      <c r="C619" s="1">
        <v>45901</v>
      </c>
      <c r="D619" t="s">
        <v>27</v>
      </c>
      <c r="E619" t="s">
        <v>33</v>
      </c>
      <c r="F619" s="2" t="s">
        <v>40</v>
      </c>
      <c r="G619" t="str">
        <f t="shared" si="65"/>
        <v>Musk 12-UK</v>
      </c>
      <c r="H619">
        <f t="shared" si="66"/>
        <v>207</v>
      </c>
      <c r="I619">
        <f>VLOOKUP(G619,Table4[[SKU-COUNTRY2]:[Price in USD]],2,FALSE)</f>
        <v>101.6</v>
      </c>
      <c r="J619">
        <f>VLOOKUP(G619,Sheet3!$C$82:$I$100,MATCH(E619,Sheet3!C$82:H$82,0),FALSE) * VLOOKUP(C619,Table8[],2,0)</f>
        <v>21000.000000000004</v>
      </c>
      <c r="K619">
        <f>ROUND(J619*VLOOKUP(F619,Sheet3!$A$106:$C$111,2,FALSE),0)</f>
        <v>6300</v>
      </c>
      <c r="L619">
        <f t="shared" si="63"/>
        <v>14700.000000000004</v>
      </c>
      <c r="M619">
        <f t="shared" si="64"/>
        <v>70</v>
      </c>
      <c r="N619" t="str">
        <f t="shared" si="67"/>
        <v>Yes</v>
      </c>
      <c r="O619">
        <f t="shared" si="68"/>
        <v>0</v>
      </c>
      <c r="P619" t="str">
        <f t="shared" si="69"/>
        <v>Freedom Launch</v>
      </c>
      <c r="Q619" t="s">
        <v>124</v>
      </c>
    </row>
    <row r="620" spans="1:17" x14ac:dyDescent="0.3">
      <c r="A620">
        <v>619</v>
      </c>
      <c r="B620" t="s">
        <v>23</v>
      </c>
      <c r="C620" s="1">
        <v>45901</v>
      </c>
      <c r="D620" t="s">
        <v>27</v>
      </c>
      <c r="E620" t="s">
        <v>34</v>
      </c>
      <c r="F620" s="2" t="s">
        <v>35</v>
      </c>
      <c r="G620" t="str">
        <f t="shared" si="65"/>
        <v>Vanilla 28-UK</v>
      </c>
      <c r="H620">
        <f t="shared" si="66"/>
        <v>1476</v>
      </c>
      <c r="I620">
        <f>VLOOKUP(G620,Table4[[SKU-COUNTRY2]:[Price in USD]],2,FALSE)</f>
        <v>101.6</v>
      </c>
      <c r="J620">
        <f>VLOOKUP(G620,Sheet3!$C$82:$I$100,MATCH(E620,Sheet3!C$82:H$82,0),FALSE) * VLOOKUP(C620,Table8[],2,0)</f>
        <v>150000</v>
      </c>
      <c r="K620">
        <f>ROUND(J620*VLOOKUP(F620,Sheet3!$A$106:$C$111,2,FALSE),0)</f>
        <v>45000</v>
      </c>
      <c r="L620">
        <f t="shared" si="63"/>
        <v>105000</v>
      </c>
      <c r="M620">
        <f t="shared" si="64"/>
        <v>70</v>
      </c>
      <c r="N620" t="str">
        <f t="shared" si="67"/>
        <v>Yes</v>
      </c>
      <c r="O620">
        <f t="shared" si="68"/>
        <v>0</v>
      </c>
      <c r="P620" t="str">
        <f t="shared" si="69"/>
        <v>Freedom Launch</v>
      </c>
      <c r="Q620" t="s">
        <v>124</v>
      </c>
    </row>
    <row r="621" spans="1:17" x14ac:dyDescent="0.3">
      <c r="A621">
        <v>620</v>
      </c>
      <c r="B621" t="s">
        <v>23</v>
      </c>
      <c r="C621" s="1">
        <v>45901</v>
      </c>
      <c r="D621" t="s">
        <v>27</v>
      </c>
      <c r="E621" t="s">
        <v>34</v>
      </c>
      <c r="F621" s="2" t="s">
        <v>36</v>
      </c>
      <c r="G621" t="str">
        <f t="shared" si="65"/>
        <v>Eden Juicy Apple 01-UK</v>
      </c>
      <c r="H621">
        <f t="shared" si="66"/>
        <v>1083</v>
      </c>
      <c r="I621">
        <f>VLOOKUP(G621,Table4[[SKU-COUNTRY2]:[Price in USD]],2,FALSE)</f>
        <v>101.6</v>
      </c>
      <c r="J621">
        <f>VLOOKUP(G621,Sheet3!$C$82:$I$100,MATCH(E621,Sheet3!C$82:H$82,0),FALSE) * VLOOKUP(C621,Table8[],2,0)</f>
        <v>110000</v>
      </c>
      <c r="K621">
        <f>ROUND(J621*VLOOKUP(F621,Sheet3!$A$106:$C$111,2,FALSE),0)</f>
        <v>34100</v>
      </c>
      <c r="L621">
        <f t="shared" si="63"/>
        <v>75900</v>
      </c>
      <c r="M621">
        <f t="shared" si="64"/>
        <v>69</v>
      </c>
      <c r="N621" t="str">
        <f t="shared" si="67"/>
        <v>Yes</v>
      </c>
      <c r="O621">
        <f t="shared" si="68"/>
        <v>0</v>
      </c>
      <c r="P621" t="str">
        <f t="shared" si="69"/>
        <v>Freedom Launch</v>
      </c>
      <c r="Q621" t="s">
        <v>124</v>
      </c>
    </row>
    <row r="622" spans="1:17" x14ac:dyDescent="0.3">
      <c r="A622">
        <v>621</v>
      </c>
      <c r="B622" t="s">
        <v>23</v>
      </c>
      <c r="C622" s="1">
        <v>45901</v>
      </c>
      <c r="D622" t="s">
        <v>27</v>
      </c>
      <c r="E622" t="s">
        <v>34</v>
      </c>
      <c r="F622" s="2" t="s">
        <v>37</v>
      </c>
      <c r="G622" t="str">
        <f t="shared" si="65"/>
        <v>Oudgasm Tobacco Oud 04-UK</v>
      </c>
      <c r="H622">
        <f t="shared" si="66"/>
        <v>596</v>
      </c>
      <c r="I622">
        <f>VLOOKUP(G622,Table4[[SKU-COUNTRY2]:[Price in USD]],2,FALSE)</f>
        <v>151.13</v>
      </c>
      <c r="J622">
        <f>VLOOKUP(G622,Sheet3!$C$82:$I$100,MATCH(E622,Sheet3!C$82:H$82,0),FALSE) * VLOOKUP(C622,Table8[],2,0)</f>
        <v>90000</v>
      </c>
      <c r="K622">
        <f>ROUND(J622*VLOOKUP(F622,Sheet3!$A$106:$C$111,2,FALSE),0)</f>
        <v>31500</v>
      </c>
      <c r="L622">
        <f t="shared" si="63"/>
        <v>58500</v>
      </c>
      <c r="M622">
        <f t="shared" si="64"/>
        <v>65</v>
      </c>
      <c r="N622" t="str">
        <f t="shared" si="67"/>
        <v>Yes</v>
      </c>
      <c r="O622">
        <f t="shared" si="68"/>
        <v>0</v>
      </c>
      <c r="P622" t="str">
        <f t="shared" si="69"/>
        <v>Freedom Launch</v>
      </c>
      <c r="Q622" t="s">
        <v>124</v>
      </c>
    </row>
    <row r="623" spans="1:17" x14ac:dyDescent="0.3">
      <c r="A623">
        <v>622</v>
      </c>
      <c r="B623" t="s">
        <v>23</v>
      </c>
      <c r="C623" s="1">
        <v>45901</v>
      </c>
      <c r="D623" t="s">
        <v>27</v>
      </c>
      <c r="E623" t="s">
        <v>34</v>
      </c>
      <c r="F623" s="2" t="s">
        <v>38</v>
      </c>
      <c r="G623" t="str">
        <f t="shared" si="65"/>
        <v>Yum Pistachio Gelato 33-UK</v>
      </c>
      <c r="H623">
        <f t="shared" si="66"/>
        <v>640</v>
      </c>
      <c r="I623">
        <f>VLOOKUP(G623,Table4[[SKU-COUNTRY2]:[Price in USD]],2,FALSE)</f>
        <v>101.6</v>
      </c>
      <c r="J623">
        <f>VLOOKUP(G623,Sheet3!$C$82:$I$100,MATCH(E623,Sheet3!C$82:H$82,0),FALSE) * VLOOKUP(C623,Table8[],2,0)</f>
        <v>65000</v>
      </c>
      <c r="K623">
        <f>ROUND(J623*VLOOKUP(F623,Sheet3!$A$106:$C$111,2,FALSE),0)</f>
        <v>20150</v>
      </c>
      <c r="L623">
        <f t="shared" si="63"/>
        <v>44850</v>
      </c>
      <c r="M623">
        <f t="shared" si="64"/>
        <v>69</v>
      </c>
      <c r="N623" t="str">
        <f t="shared" si="67"/>
        <v>Yes</v>
      </c>
      <c r="O623">
        <f t="shared" si="68"/>
        <v>0</v>
      </c>
      <c r="P623" t="str">
        <f t="shared" si="69"/>
        <v>Freedom Launch</v>
      </c>
      <c r="Q623" t="s">
        <v>124</v>
      </c>
    </row>
    <row r="624" spans="1:17" x14ac:dyDescent="0.3">
      <c r="A624">
        <v>623</v>
      </c>
      <c r="B624" t="s">
        <v>23</v>
      </c>
      <c r="C624" s="1">
        <v>45901</v>
      </c>
      <c r="D624" t="s">
        <v>27</v>
      </c>
      <c r="E624" t="s">
        <v>34</v>
      </c>
      <c r="F624" s="2" t="s">
        <v>39</v>
      </c>
      <c r="G624" t="str">
        <f t="shared" si="65"/>
        <v>Freedom Musk Santal 34-UK</v>
      </c>
      <c r="H624">
        <f t="shared" si="66"/>
        <v>492</v>
      </c>
      <c r="I624">
        <f>VLOOKUP(G624,Table4[[SKU-COUNTRY2]:[Price in USD]],2,FALSE)</f>
        <v>101.6</v>
      </c>
      <c r="J624">
        <f>VLOOKUP(G624,Sheet3!$C$82:$I$100,MATCH(E624,Sheet3!C$82:H$82,0),FALSE) * VLOOKUP(C624,Table8[],2,0)</f>
        <v>50000</v>
      </c>
      <c r="K624">
        <f>ROUND(J624*VLOOKUP(F624,Sheet3!$A$106:$C$111,2,FALSE),0)</f>
        <v>16000</v>
      </c>
      <c r="L624">
        <f t="shared" si="63"/>
        <v>34000</v>
      </c>
      <c r="M624">
        <f t="shared" si="64"/>
        <v>68</v>
      </c>
      <c r="N624" t="str">
        <f t="shared" si="67"/>
        <v>Yes</v>
      </c>
      <c r="O624">
        <f t="shared" si="68"/>
        <v>0</v>
      </c>
      <c r="P624" t="str">
        <f t="shared" si="69"/>
        <v>Freedom Launch</v>
      </c>
      <c r="Q624" t="s">
        <v>124</v>
      </c>
    </row>
    <row r="625" spans="1:17" x14ac:dyDescent="0.3">
      <c r="A625">
        <v>624</v>
      </c>
      <c r="B625" t="s">
        <v>23</v>
      </c>
      <c r="C625" s="1">
        <v>45901</v>
      </c>
      <c r="D625" t="s">
        <v>27</v>
      </c>
      <c r="E625" t="s">
        <v>34</v>
      </c>
      <c r="F625" s="2" t="s">
        <v>40</v>
      </c>
      <c r="G625" t="str">
        <f t="shared" si="65"/>
        <v>Musk 12-UK</v>
      </c>
      <c r="H625">
        <f t="shared" si="66"/>
        <v>344</v>
      </c>
      <c r="I625">
        <f>VLOOKUP(G625,Table4[[SKU-COUNTRY2]:[Price in USD]],2,FALSE)</f>
        <v>101.6</v>
      </c>
      <c r="J625">
        <f>VLOOKUP(G625,Sheet3!$C$82:$I$100,MATCH(E625,Sheet3!C$82:H$82,0),FALSE) * VLOOKUP(C625,Table8[],2,0)</f>
        <v>35000</v>
      </c>
      <c r="K625">
        <f>ROUND(J625*VLOOKUP(F625,Sheet3!$A$106:$C$111,2,FALSE),0)</f>
        <v>10500</v>
      </c>
      <c r="L625">
        <f t="shared" si="63"/>
        <v>24500</v>
      </c>
      <c r="M625">
        <f t="shared" si="64"/>
        <v>70</v>
      </c>
      <c r="N625" t="str">
        <f t="shared" si="67"/>
        <v>Yes</v>
      </c>
      <c r="O625">
        <f t="shared" si="68"/>
        <v>0</v>
      </c>
      <c r="P625" t="str">
        <f t="shared" si="69"/>
        <v>Freedom Launch</v>
      </c>
      <c r="Q625" t="s">
        <v>124</v>
      </c>
    </row>
    <row r="626" spans="1:17" x14ac:dyDescent="0.3">
      <c r="A626">
        <v>625</v>
      </c>
      <c r="B626" t="s">
        <v>23</v>
      </c>
      <c r="C626" s="1">
        <v>45901</v>
      </c>
      <c r="D626" t="s">
        <v>29</v>
      </c>
      <c r="E626" t="s">
        <v>32</v>
      </c>
      <c r="F626" s="2" t="s">
        <v>35</v>
      </c>
      <c r="G626" t="str">
        <f t="shared" si="65"/>
        <v>Vanilla 28-UAE</v>
      </c>
      <c r="H626">
        <f t="shared" si="66"/>
        <v>1984</v>
      </c>
      <c r="I626">
        <f>VLOOKUP(G626,Table4[[SKU-COUNTRY2]:[Price in USD]],2,FALSE)</f>
        <v>113.4</v>
      </c>
      <c r="J626">
        <f>VLOOKUP(G626,Sheet3!$C$82:$I$100,MATCH(E626,Sheet3!C$82:H$82,0),FALSE) * VLOOKUP(C626,Table8[],2,0)</f>
        <v>225000</v>
      </c>
      <c r="K626">
        <f>ROUND(J626*VLOOKUP(F626,Sheet3!$A$106:$C$111,2,FALSE),0)</f>
        <v>67500</v>
      </c>
      <c r="L626">
        <f t="shared" si="63"/>
        <v>157500</v>
      </c>
      <c r="M626">
        <f t="shared" si="64"/>
        <v>70</v>
      </c>
      <c r="N626" t="str">
        <f t="shared" si="67"/>
        <v>Yes</v>
      </c>
      <c r="O626">
        <f t="shared" si="68"/>
        <v>0</v>
      </c>
      <c r="P626" t="str">
        <f t="shared" si="69"/>
        <v>Freedom Launch</v>
      </c>
      <c r="Q626" t="s">
        <v>124</v>
      </c>
    </row>
    <row r="627" spans="1:17" x14ac:dyDescent="0.3">
      <c r="A627">
        <v>626</v>
      </c>
      <c r="B627" t="s">
        <v>23</v>
      </c>
      <c r="C627" s="1">
        <v>45901</v>
      </c>
      <c r="D627" t="s">
        <v>29</v>
      </c>
      <c r="E627" t="s">
        <v>32</v>
      </c>
      <c r="F627" s="2" t="s">
        <v>36</v>
      </c>
      <c r="G627" t="str">
        <f t="shared" si="65"/>
        <v>Eden Juicy Apple 01-UAE</v>
      </c>
      <c r="H627">
        <f t="shared" si="66"/>
        <v>1488</v>
      </c>
      <c r="I627">
        <f>VLOOKUP(G627,Table4[[SKU-COUNTRY2]:[Price in USD]],2,FALSE)</f>
        <v>113.4</v>
      </c>
      <c r="J627">
        <f>VLOOKUP(G627,Sheet3!$C$82:$I$100,MATCH(E627,Sheet3!C$82:H$82,0),FALSE) * VLOOKUP(C627,Table8[],2,0)</f>
        <v>168750</v>
      </c>
      <c r="K627">
        <f>ROUND(J627*VLOOKUP(F627,Sheet3!$A$106:$C$111,2,FALSE),0)</f>
        <v>52313</v>
      </c>
      <c r="L627">
        <f t="shared" si="63"/>
        <v>116437</v>
      </c>
      <c r="M627">
        <f t="shared" si="64"/>
        <v>69</v>
      </c>
      <c r="N627" t="str">
        <f t="shared" si="67"/>
        <v>Yes</v>
      </c>
      <c r="O627">
        <f t="shared" si="68"/>
        <v>0</v>
      </c>
      <c r="P627" t="str">
        <f t="shared" si="69"/>
        <v>Freedom Launch</v>
      </c>
      <c r="Q627" t="s">
        <v>124</v>
      </c>
    </row>
    <row r="628" spans="1:17" x14ac:dyDescent="0.3">
      <c r="A628">
        <v>627</v>
      </c>
      <c r="B628" t="s">
        <v>23</v>
      </c>
      <c r="C628" s="1">
        <v>45901</v>
      </c>
      <c r="D628" t="s">
        <v>29</v>
      </c>
      <c r="E628" t="s">
        <v>32</v>
      </c>
      <c r="F628" s="2" t="s">
        <v>37</v>
      </c>
      <c r="G628" t="str">
        <f t="shared" si="65"/>
        <v>Oudgasm Tobacco Oud 04-UAE</v>
      </c>
      <c r="H628">
        <f t="shared" si="66"/>
        <v>2647</v>
      </c>
      <c r="I628">
        <f>VLOOKUP(G628,Table4[[SKU-COUNTRY2]:[Price in USD]],2,FALSE)</f>
        <v>148.77000000000001</v>
      </c>
      <c r="J628">
        <f>VLOOKUP(G628,Sheet3!$C$82:$I$100,MATCH(E628,Sheet3!C$82:H$82,0),FALSE) * VLOOKUP(C628,Table8[],2,0)</f>
        <v>393750</v>
      </c>
      <c r="K628">
        <f>ROUND(J628*VLOOKUP(F628,Sheet3!$A$106:$C$111,2,FALSE),0)</f>
        <v>137813</v>
      </c>
      <c r="L628">
        <f t="shared" si="63"/>
        <v>255937</v>
      </c>
      <c r="M628">
        <f t="shared" si="64"/>
        <v>65</v>
      </c>
      <c r="N628" t="str">
        <f t="shared" si="67"/>
        <v>Yes</v>
      </c>
      <c r="O628">
        <f t="shared" si="68"/>
        <v>0</v>
      </c>
      <c r="P628" t="str">
        <f t="shared" si="69"/>
        <v>Freedom Launch</v>
      </c>
      <c r="Q628" t="s">
        <v>124</v>
      </c>
    </row>
    <row r="629" spans="1:17" x14ac:dyDescent="0.3">
      <c r="A629">
        <v>628</v>
      </c>
      <c r="B629" t="s">
        <v>23</v>
      </c>
      <c r="C629" s="1">
        <v>45901</v>
      </c>
      <c r="D629" t="s">
        <v>29</v>
      </c>
      <c r="E629" t="s">
        <v>32</v>
      </c>
      <c r="F629" s="2" t="s">
        <v>38</v>
      </c>
      <c r="G629" t="str">
        <f t="shared" si="65"/>
        <v>Yum Pistachio Gelato 33-UAE</v>
      </c>
      <c r="H629">
        <f t="shared" si="66"/>
        <v>1190</v>
      </c>
      <c r="I629">
        <f>VLOOKUP(G629,Table4[[SKU-COUNTRY2]:[Price in USD]],2,FALSE)</f>
        <v>113.4</v>
      </c>
      <c r="J629">
        <f>VLOOKUP(G629,Sheet3!$C$82:$I$100,MATCH(E629,Sheet3!C$82:H$82,0),FALSE) * VLOOKUP(C629,Table8[],2,0)</f>
        <v>135000</v>
      </c>
      <c r="K629">
        <f>ROUND(J629*VLOOKUP(F629,Sheet3!$A$106:$C$111,2,FALSE),0)</f>
        <v>41850</v>
      </c>
      <c r="L629">
        <f t="shared" si="63"/>
        <v>93150</v>
      </c>
      <c r="M629">
        <f t="shared" si="64"/>
        <v>69</v>
      </c>
      <c r="N629" t="str">
        <f t="shared" si="67"/>
        <v>Yes</v>
      </c>
      <c r="O629">
        <f t="shared" si="68"/>
        <v>0</v>
      </c>
      <c r="P629" t="str">
        <f t="shared" si="69"/>
        <v>Freedom Launch</v>
      </c>
      <c r="Q629" t="s">
        <v>124</v>
      </c>
    </row>
    <row r="630" spans="1:17" x14ac:dyDescent="0.3">
      <c r="A630">
        <v>629</v>
      </c>
      <c r="B630" t="s">
        <v>23</v>
      </c>
      <c r="C630" s="1">
        <v>45901</v>
      </c>
      <c r="D630" t="s">
        <v>29</v>
      </c>
      <c r="E630" t="s">
        <v>32</v>
      </c>
      <c r="F630" s="2" t="s">
        <v>39</v>
      </c>
      <c r="G630" t="str">
        <f t="shared" si="65"/>
        <v>Freedom Musk Santal 34-UAE</v>
      </c>
      <c r="H630">
        <f t="shared" si="66"/>
        <v>992</v>
      </c>
      <c r="I630">
        <f>VLOOKUP(G630,Table4[[SKU-COUNTRY2]:[Price in USD]],2,FALSE)</f>
        <v>113.4</v>
      </c>
      <c r="J630">
        <f>VLOOKUP(G630,Sheet3!$C$82:$I$100,MATCH(E630,Sheet3!C$82:H$82,0),FALSE) * VLOOKUP(C630,Table8[],2,0)</f>
        <v>112500</v>
      </c>
      <c r="K630">
        <f>ROUND(J630*VLOOKUP(F630,Sheet3!$A$106:$C$111,2,FALSE),0)</f>
        <v>36000</v>
      </c>
      <c r="L630">
        <f t="shared" si="63"/>
        <v>76500</v>
      </c>
      <c r="M630">
        <f t="shared" si="64"/>
        <v>68</v>
      </c>
      <c r="N630" t="str">
        <f t="shared" si="67"/>
        <v>Yes</v>
      </c>
      <c r="O630">
        <f t="shared" si="68"/>
        <v>0</v>
      </c>
      <c r="P630" t="str">
        <f t="shared" si="69"/>
        <v>Freedom Launch</v>
      </c>
      <c r="Q630" t="s">
        <v>124</v>
      </c>
    </row>
    <row r="631" spans="1:17" x14ac:dyDescent="0.3">
      <c r="A631">
        <v>630</v>
      </c>
      <c r="B631" t="s">
        <v>23</v>
      </c>
      <c r="C631" s="1">
        <v>45901</v>
      </c>
      <c r="D631" t="s">
        <v>29</v>
      </c>
      <c r="E631" t="s">
        <v>32</v>
      </c>
      <c r="F631" s="2" t="s">
        <v>40</v>
      </c>
      <c r="G631" t="str">
        <f t="shared" si="65"/>
        <v>Musk 12-UAE</v>
      </c>
      <c r="H631">
        <f t="shared" si="66"/>
        <v>794</v>
      </c>
      <c r="I631">
        <f>VLOOKUP(G631,Table4[[SKU-COUNTRY2]:[Price in USD]],2,FALSE)</f>
        <v>113.4</v>
      </c>
      <c r="J631">
        <f>VLOOKUP(G631,Sheet3!$C$82:$I$100,MATCH(E631,Sheet3!C$82:H$82,0),FALSE) * VLOOKUP(C631,Table8[],2,0)</f>
        <v>90000</v>
      </c>
      <c r="K631">
        <f>ROUND(J631*VLOOKUP(F631,Sheet3!$A$106:$C$111,2,FALSE),0)</f>
        <v>27000</v>
      </c>
      <c r="L631">
        <f t="shared" si="63"/>
        <v>63000</v>
      </c>
      <c r="M631">
        <f t="shared" si="64"/>
        <v>70</v>
      </c>
      <c r="N631" t="str">
        <f t="shared" si="67"/>
        <v>Yes</v>
      </c>
      <c r="O631">
        <f t="shared" si="68"/>
        <v>0</v>
      </c>
      <c r="P631" t="str">
        <f t="shared" si="69"/>
        <v>Freedom Launch</v>
      </c>
      <c r="Q631" t="s">
        <v>124</v>
      </c>
    </row>
    <row r="632" spans="1:17" x14ac:dyDescent="0.3">
      <c r="A632">
        <v>631</v>
      </c>
      <c r="B632" t="s">
        <v>23</v>
      </c>
      <c r="C632" s="1">
        <v>45901</v>
      </c>
      <c r="D632" t="s">
        <v>29</v>
      </c>
      <c r="E632" t="s">
        <v>31</v>
      </c>
      <c r="F632" s="2" t="s">
        <v>35</v>
      </c>
      <c r="G632" t="str">
        <f t="shared" si="65"/>
        <v>Vanilla 28-UAE</v>
      </c>
      <c r="H632">
        <f t="shared" si="66"/>
        <v>1102</v>
      </c>
      <c r="I632">
        <f>VLOOKUP(G632,Table4[[SKU-COUNTRY2]:[Price in USD]],2,FALSE)</f>
        <v>113.4</v>
      </c>
      <c r="J632">
        <f>VLOOKUP(G632,Sheet3!$C$82:$I$100,MATCH(E632,Sheet3!C$82:H$82,0),FALSE) * VLOOKUP(C632,Table8[],2,0)</f>
        <v>125000</v>
      </c>
      <c r="K632">
        <f>ROUND(J632*VLOOKUP(F632,Sheet3!$A$106:$C$111,2,FALSE),0)</f>
        <v>37500</v>
      </c>
      <c r="L632">
        <f t="shared" si="63"/>
        <v>87500</v>
      </c>
      <c r="M632">
        <f t="shared" si="64"/>
        <v>70</v>
      </c>
      <c r="N632" t="str">
        <f t="shared" si="67"/>
        <v>Yes</v>
      </c>
      <c r="O632">
        <f t="shared" si="68"/>
        <v>0</v>
      </c>
      <c r="P632" t="str">
        <f t="shared" si="69"/>
        <v>Freedom Launch</v>
      </c>
      <c r="Q632" t="s">
        <v>124</v>
      </c>
    </row>
    <row r="633" spans="1:17" x14ac:dyDescent="0.3">
      <c r="A633">
        <v>632</v>
      </c>
      <c r="B633" t="s">
        <v>23</v>
      </c>
      <c r="C633" s="1">
        <v>45901</v>
      </c>
      <c r="D633" t="s">
        <v>29</v>
      </c>
      <c r="E633" t="s">
        <v>31</v>
      </c>
      <c r="F633" s="2" t="s">
        <v>36</v>
      </c>
      <c r="G633" t="str">
        <f t="shared" si="65"/>
        <v>Eden Juicy Apple 01-UAE</v>
      </c>
      <c r="H633">
        <f t="shared" si="66"/>
        <v>827</v>
      </c>
      <c r="I633">
        <f>VLOOKUP(G633,Table4[[SKU-COUNTRY2]:[Price in USD]],2,FALSE)</f>
        <v>113.4</v>
      </c>
      <c r="J633">
        <f>VLOOKUP(G633,Sheet3!$C$82:$I$100,MATCH(E633,Sheet3!C$82:H$82,0),FALSE) * VLOOKUP(C633,Table8[],2,0)</f>
        <v>93750</v>
      </c>
      <c r="K633">
        <f>ROUND(J633*VLOOKUP(F633,Sheet3!$A$106:$C$111,2,FALSE),0)</f>
        <v>29063</v>
      </c>
      <c r="L633">
        <f t="shared" si="63"/>
        <v>64687</v>
      </c>
      <c r="M633">
        <f t="shared" si="64"/>
        <v>69</v>
      </c>
      <c r="N633" t="str">
        <f t="shared" si="67"/>
        <v>Yes</v>
      </c>
      <c r="O633">
        <f t="shared" si="68"/>
        <v>0</v>
      </c>
      <c r="P633" t="str">
        <f t="shared" si="69"/>
        <v>Freedom Launch</v>
      </c>
      <c r="Q633" t="s">
        <v>124</v>
      </c>
    </row>
    <row r="634" spans="1:17" x14ac:dyDescent="0.3">
      <c r="A634">
        <v>633</v>
      </c>
      <c r="B634" t="s">
        <v>23</v>
      </c>
      <c r="C634" s="1">
        <v>45901</v>
      </c>
      <c r="D634" t="s">
        <v>29</v>
      </c>
      <c r="E634" t="s">
        <v>31</v>
      </c>
      <c r="F634" s="2" t="s">
        <v>37</v>
      </c>
      <c r="G634" t="str">
        <f t="shared" si="65"/>
        <v>Oudgasm Tobacco Oud 04-UAE</v>
      </c>
      <c r="H634">
        <f t="shared" si="66"/>
        <v>1470</v>
      </c>
      <c r="I634">
        <f>VLOOKUP(G634,Table4[[SKU-COUNTRY2]:[Price in USD]],2,FALSE)</f>
        <v>148.77000000000001</v>
      </c>
      <c r="J634">
        <f>VLOOKUP(G634,Sheet3!$C$82:$I$100,MATCH(E634,Sheet3!C$82:H$82,0),FALSE) * VLOOKUP(C634,Table8[],2,0)</f>
        <v>218750</v>
      </c>
      <c r="K634">
        <f>ROUND(J634*VLOOKUP(F634,Sheet3!$A$106:$C$111,2,FALSE),0)</f>
        <v>76563</v>
      </c>
      <c r="L634">
        <f t="shared" si="63"/>
        <v>142187</v>
      </c>
      <c r="M634">
        <f t="shared" si="64"/>
        <v>65</v>
      </c>
      <c r="N634" t="str">
        <f t="shared" si="67"/>
        <v>Yes</v>
      </c>
      <c r="O634">
        <f t="shared" si="68"/>
        <v>0</v>
      </c>
      <c r="P634" t="str">
        <f t="shared" si="69"/>
        <v>Freedom Launch</v>
      </c>
      <c r="Q634" t="s">
        <v>124</v>
      </c>
    </row>
    <row r="635" spans="1:17" x14ac:dyDescent="0.3">
      <c r="A635">
        <v>634</v>
      </c>
      <c r="B635" t="s">
        <v>23</v>
      </c>
      <c r="C635" s="1">
        <v>45901</v>
      </c>
      <c r="D635" t="s">
        <v>29</v>
      </c>
      <c r="E635" t="s">
        <v>31</v>
      </c>
      <c r="F635" s="2" t="s">
        <v>38</v>
      </c>
      <c r="G635" t="str">
        <f t="shared" si="65"/>
        <v>Yum Pistachio Gelato 33-UAE</v>
      </c>
      <c r="H635">
        <f t="shared" si="66"/>
        <v>661</v>
      </c>
      <c r="I635">
        <f>VLOOKUP(G635,Table4[[SKU-COUNTRY2]:[Price in USD]],2,FALSE)</f>
        <v>113.4</v>
      </c>
      <c r="J635">
        <f>VLOOKUP(G635,Sheet3!$C$82:$I$100,MATCH(E635,Sheet3!C$82:H$82,0),FALSE) * VLOOKUP(C635,Table8[],2,0)</f>
        <v>75000</v>
      </c>
      <c r="K635">
        <f>ROUND(J635*VLOOKUP(F635,Sheet3!$A$106:$C$111,2,FALSE),0)</f>
        <v>23250</v>
      </c>
      <c r="L635">
        <f t="shared" si="63"/>
        <v>51750</v>
      </c>
      <c r="M635">
        <f t="shared" si="64"/>
        <v>69</v>
      </c>
      <c r="N635" t="str">
        <f t="shared" si="67"/>
        <v>Yes</v>
      </c>
      <c r="O635">
        <f t="shared" si="68"/>
        <v>0</v>
      </c>
      <c r="P635" t="str">
        <f t="shared" si="69"/>
        <v>Freedom Launch</v>
      </c>
      <c r="Q635" t="s">
        <v>124</v>
      </c>
    </row>
    <row r="636" spans="1:17" x14ac:dyDescent="0.3">
      <c r="A636">
        <v>635</v>
      </c>
      <c r="B636" t="s">
        <v>23</v>
      </c>
      <c r="C636" s="1">
        <v>45901</v>
      </c>
      <c r="D636" t="s">
        <v>29</v>
      </c>
      <c r="E636" t="s">
        <v>31</v>
      </c>
      <c r="F636" s="2" t="s">
        <v>39</v>
      </c>
      <c r="G636" t="str">
        <f t="shared" si="65"/>
        <v>Freedom Musk Santal 34-UAE</v>
      </c>
      <c r="H636">
        <f t="shared" si="66"/>
        <v>551</v>
      </c>
      <c r="I636">
        <f>VLOOKUP(G636,Table4[[SKU-COUNTRY2]:[Price in USD]],2,FALSE)</f>
        <v>113.4</v>
      </c>
      <c r="J636">
        <f>VLOOKUP(G636,Sheet3!$C$82:$I$100,MATCH(E636,Sheet3!C$82:H$82,0),FALSE) * VLOOKUP(C636,Table8[],2,0)</f>
        <v>62500</v>
      </c>
      <c r="K636">
        <f>ROUND(J636*VLOOKUP(F636,Sheet3!$A$106:$C$111,2,FALSE),0)</f>
        <v>20000</v>
      </c>
      <c r="L636">
        <f t="shared" si="63"/>
        <v>42500</v>
      </c>
      <c r="M636">
        <f t="shared" si="64"/>
        <v>68</v>
      </c>
      <c r="N636" t="str">
        <f t="shared" si="67"/>
        <v>Yes</v>
      </c>
      <c r="O636">
        <f t="shared" si="68"/>
        <v>0</v>
      </c>
      <c r="P636" t="str">
        <f t="shared" si="69"/>
        <v>Freedom Launch</v>
      </c>
      <c r="Q636" t="s">
        <v>124</v>
      </c>
    </row>
    <row r="637" spans="1:17" x14ac:dyDescent="0.3">
      <c r="A637">
        <v>636</v>
      </c>
      <c r="B637" t="s">
        <v>23</v>
      </c>
      <c r="C637" s="1">
        <v>45901</v>
      </c>
      <c r="D637" t="s">
        <v>29</v>
      </c>
      <c r="E637" t="s">
        <v>31</v>
      </c>
      <c r="F637" s="2" t="s">
        <v>40</v>
      </c>
      <c r="G637" t="str">
        <f t="shared" si="65"/>
        <v>Musk 12-UAE</v>
      </c>
      <c r="H637">
        <f t="shared" si="66"/>
        <v>441</v>
      </c>
      <c r="I637">
        <f>VLOOKUP(G637,Table4[[SKU-COUNTRY2]:[Price in USD]],2,FALSE)</f>
        <v>113.4</v>
      </c>
      <c r="J637">
        <f>VLOOKUP(G637,Sheet3!$C$82:$I$100,MATCH(E637,Sheet3!C$82:H$82,0),FALSE) * VLOOKUP(C637,Table8[],2,0)</f>
        <v>50000</v>
      </c>
      <c r="K637">
        <f>ROUND(J637*VLOOKUP(F637,Sheet3!$A$106:$C$111,2,FALSE),0)</f>
        <v>15000</v>
      </c>
      <c r="L637">
        <f t="shared" si="63"/>
        <v>35000</v>
      </c>
      <c r="M637">
        <f t="shared" si="64"/>
        <v>70</v>
      </c>
      <c r="N637" t="str">
        <f t="shared" si="67"/>
        <v>Yes</v>
      </c>
      <c r="O637">
        <f t="shared" si="68"/>
        <v>0</v>
      </c>
      <c r="P637" t="str">
        <f t="shared" si="69"/>
        <v>Freedom Launch</v>
      </c>
      <c r="Q637" t="s">
        <v>124</v>
      </c>
    </row>
    <row r="638" spans="1:17" x14ac:dyDescent="0.3">
      <c r="A638">
        <v>637</v>
      </c>
      <c r="B638" t="s">
        <v>23</v>
      </c>
      <c r="C638" s="1">
        <v>45901</v>
      </c>
      <c r="D638" t="s">
        <v>29</v>
      </c>
      <c r="E638" t="s">
        <v>33</v>
      </c>
      <c r="F638" s="2" t="s">
        <v>35</v>
      </c>
      <c r="G638" t="str">
        <f t="shared" si="65"/>
        <v>Vanilla 28-UAE</v>
      </c>
      <c r="H638">
        <f t="shared" si="66"/>
        <v>882</v>
      </c>
      <c r="I638">
        <f>VLOOKUP(G638,Table4[[SKU-COUNTRY2]:[Price in USD]],2,FALSE)</f>
        <v>113.4</v>
      </c>
      <c r="J638">
        <f>VLOOKUP(G638,Sheet3!$C$82:$I$100,MATCH(E638,Sheet3!C$82:H$82,0),FALSE) * VLOOKUP(C638,Table8[],2,0)</f>
        <v>100000</v>
      </c>
      <c r="K638">
        <f>ROUND(J638*VLOOKUP(F638,Sheet3!$A$106:$C$111,2,FALSE),0)</f>
        <v>30000</v>
      </c>
      <c r="L638">
        <f t="shared" si="63"/>
        <v>70000</v>
      </c>
      <c r="M638">
        <f t="shared" si="64"/>
        <v>70</v>
      </c>
      <c r="N638" t="str">
        <f t="shared" si="67"/>
        <v>Yes</v>
      </c>
      <c r="O638">
        <f t="shared" si="68"/>
        <v>0</v>
      </c>
      <c r="P638" t="str">
        <f t="shared" si="69"/>
        <v>Freedom Launch</v>
      </c>
      <c r="Q638" t="s">
        <v>124</v>
      </c>
    </row>
    <row r="639" spans="1:17" x14ac:dyDescent="0.3">
      <c r="A639">
        <v>638</v>
      </c>
      <c r="B639" t="s">
        <v>23</v>
      </c>
      <c r="C639" s="1">
        <v>45901</v>
      </c>
      <c r="D639" t="s">
        <v>29</v>
      </c>
      <c r="E639" t="s">
        <v>33</v>
      </c>
      <c r="F639" s="2" t="s">
        <v>36</v>
      </c>
      <c r="G639" t="str">
        <f t="shared" si="65"/>
        <v>Eden Juicy Apple 01-UAE</v>
      </c>
      <c r="H639">
        <f t="shared" si="66"/>
        <v>661</v>
      </c>
      <c r="I639">
        <f>VLOOKUP(G639,Table4[[SKU-COUNTRY2]:[Price in USD]],2,FALSE)</f>
        <v>113.4</v>
      </c>
      <c r="J639">
        <f>VLOOKUP(G639,Sheet3!$C$82:$I$100,MATCH(E639,Sheet3!C$82:H$82,0),FALSE) * VLOOKUP(C639,Table8[],2,0)</f>
        <v>75000</v>
      </c>
      <c r="K639">
        <f>ROUND(J639*VLOOKUP(F639,Sheet3!$A$106:$C$111,2,FALSE),0)</f>
        <v>23250</v>
      </c>
      <c r="L639">
        <f t="shared" si="63"/>
        <v>51750</v>
      </c>
      <c r="M639">
        <f t="shared" si="64"/>
        <v>69</v>
      </c>
      <c r="N639" t="str">
        <f t="shared" si="67"/>
        <v>Yes</v>
      </c>
      <c r="O639">
        <f t="shared" si="68"/>
        <v>0</v>
      </c>
      <c r="P639" t="str">
        <f t="shared" si="69"/>
        <v>Freedom Launch</v>
      </c>
      <c r="Q639" t="s">
        <v>124</v>
      </c>
    </row>
    <row r="640" spans="1:17" x14ac:dyDescent="0.3">
      <c r="A640">
        <v>639</v>
      </c>
      <c r="B640" t="s">
        <v>23</v>
      </c>
      <c r="C640" s="1">
        <v>45901</v>
      </c>
      <c r="D640" t="s">
        <v>29</v>
      </c>
      <c r="E640" t="s">
        <v>33</v>
      </c>
      <c r="F640" s="2" t="s">
        <v>37</v>
      </c>
      <c r="G640" t="str">
        <f t="shared" si="65"/>
        <v>Oudgasm Tobacco Oud 04-UAE</v>
      </c>
      <c r="H640">
        <f t="shared" si="66"/>
        <v>1176</v>
      </c>
      <c r="I640">
        <f>VLOOKUP(G640,Table4[[SKU-COUNTRY2]:[Price in USD]],2,FALSE)</f>
        <v>148.77000000000001</v>
      </c>
      <c r="J640">
        <f>VLOOKUP(G640,Sheet3!$C$82:$I$100,MATCH(E640,Sheet3!C$82:H$82,0),FALSE) * VLOOKUP(C640,Table8[],2,0)</f>
        <v>175000</v>
      </c>
      <c r="K640">
        <f>ROUND(J640*VLOOKUP(F640,Sheet3!$A$106:$C$111,2,FALSE),0)</f>
        <v>61250</v>
      </c>
      <c r="L640">
        <f t="shared" si="63"/>
        <v>113750</v>
      </c>
      <c r="M640">
        <f t="shared" si="64"/>
        <v>65</v>
      </c>
      <c r="N640" t="str">
        <f t="shared" si="67"/>
        <v>Yes</v>
      </c>
      <c r="O640">
        <f t="shared" si="68"/>
        <v>0</v>
      </c>
      <c r="P640" t="str">
        <f t="shared" si="69"/>
        <v>Freedom Launch</v>
      </c>
      <c r="Q640" t="s">
        <v>124</v>
      </c>
    </row>
    <row r="641" spans="1:17" x14ac:dyDescent="0.3">
      <c r="A641">
        <v>640</v>
      </c>
      <c r="B641" t="s">
        <v>23</v>
      </c>
      <c r="C641" s="1">
        <v>45901</v>
      </c>
      <c r="D641" t="s">
        <v>29</v>
      </c>
      <c r="E641" t="s">
        <v>33</v>
      </c>
      <c r="F641" s="2" t="s">
        <v>38</v>
      </c>
      <c r="G641" t="str">
        <f t="shared" si="65"/>
        <v>Yum Pistachio Gelato 33-UAE</v>
      </c>
      <c r="H641">
        <f t="shared" si="66"/>
        <v>529</v>
      </c>
      <c r="I641">
        <f>VLOOKUP(G641,Table4[[SKU-COUNTRY2]:[Price in USD]],2,FALSE)</f>
        <v>113.4</v>
      </c>
      <c r="J641">
        <f>VLOOKUP(G641,Sheet3!$C$82:$I$100,MATCH(E641,Sheet3!C$82:H$82,0),FALSE) * VLOOKUP(C641,Table8[],2,0)</f>
        <v>60000</v>
      </c>
      <c r="K641">
        <f>ROUND(J641*VLOOKUP(F641,Sheet3!$A$106:$C$111,2,FALSE),0)</f>
        <v>18600</v>
      </c>
      <c r="L641">
        <f t="shared" si="63"/>
        <v>41400</v>
      </c>
      <c r="M641">
        <f t="shared" si="64"/>
        <v>69</v>
      </c>
      <c r="N641" t="str">
        <f t="shared" si="67"/>
        <v>Yes</v>
      </c>
      <c r="O641">
        <f t="shared" si="68"/>
        <v>0</v>
      </c>
      <c r="P641" t="str">
        <f t="shared" si="69"/>
        <v>Freedom Launch</v>
      </c>
      <c r="Q641" t="s">
        <v>124</v>
      </c>
    </row>
    <row r="642" spans="1:17" x14ac:dyDescent="0.3">
      <c r="A642">
        <v>641</v>
      </c>
      <c r="B642" t="s">
        <v>23</v>
      </c>
      <c r="C642" s="1">
        <v>45901</v>
      </c>
      <c r="D642" t="s">
        <v>29</v>
      </c>
      <c r="E642" t="s">
        <v>33</v>
      </c>
      <c r="F642" s="2" t="s">
        <v>39</v>
      </c>
      <c r="G642" t="str">
        <f t="shared" si="65"/>
        <v>Freedom Musk Santal 34-UAE</v>
      </c>
      <c r="H642">
        <f t="shared" si="66"/>
        <v>441</v>
      </c>
      <c r="I642">
        <f>VLOOKUP(G642,Table4[[SKU-COUNTRY2]:[Price in USD]],2,FALSE)</f>
        <v>113.4</v>
      </c>
      <c r="J642">
        <f>VLOOKUP(G642,Sheet3!$C$82:$I$100,MATCH(E642,Sheet3!C$82:H$82,0),FALSE) * VLOOKUP(C642,Table8[],2,0)</f>
        <v>50000</v>
      </c>
      <c r="K642">
        <f>ROUND(J642*VLOOKUP(F642,Sheet3!$A$106:$C$111,2,FALSE),0)</f>
        <v>16000</v>
      </c>
      <c r="L642">
        <f t="shared" ref="L642:L705" si="70">J642-K642</f>
        <v>34000</v>
      </c>
      <c r="M642">
        <f t="shared" ref="M642:M705" si="71">ROUND(L642/J642*100, 1)</f>
        <v>68</v>
      </c>
      <c r="N642" t="str">
        <f t="shared" si="67"/>
        <v>Yes</v>
      </c>
      <c r="O642">
        <f t="shared" si="68"/>
        <v>0</v>
      </c>
      <c r="P642" t="str">
        <f t="shared" si="69"/>
        <v>Freedom Launch</v>
      </c>
      <c r="Q642" t="s">
        <v>124</v>
      </c>
    </row>
    <row r="643" spans="1:17" x14ac:dyDescent="0.3">
      <c r="A643">
        <v>642</v>
      </c>
      <c r="B643" t="s">
        <v>23</v>
      </c>
      <c r="C643" s="1">
        <v>45901</v>
      </c>
      <c r="D643" t="s">
        <v>29</v>
      </c>
      <c r="E643" t="s">
        <v>33</v>
      </c>
      <c r="F643" s="2" t="s">
        <v>40</v>
      </c>
      <c r="G643" t="str">
        <f t="shared" ref="G643:G706" si="72">_xlfn.CONCAT(F643,"-",D643,)</f>
        <v>Musk 12-UAE</v>
      </c>
      <c r="H643">
        <f t="shared" ref="H643:H706" si="73">ROUND(J643/I643,0)</f>
        <v>353</v>
      </c>
      <c r="I643">
        <f>VLOOKUP(G643,Table4[[SKU-COUNTRY2]:[Price in USD]],2,FALSE)</f>
        <v>113.4</v>
      </c>
      <c r="J643">
        <f>VLOOKUP(G643,Sheet3!$C$82:$I$100,MATCH(E643,Sheet3!C$82:H$82,0),FALSE) * VLOOKUP(C643,Table8[],2,0)</f>
        <v>40000</v>
      </c>
      <c r="K643">
        <f>ROUND(J643*VLOOKUP(F643,Sheet3!$A$106:$C$111,2,FALSE),0)</f>
        <v>12000</v>
      </c>
      <c r="L643">
        <f t="shared" si="70"/>
        <v>28000</v>
      </c>
      <c r="M643">
        <f t="shared" si="71"/>
        <v>70</v>
      </c>
      <c r="N643" t="str">
        <f t="shared" ref="N643:N706" si="74">IF(OR(
    MONTH(C643)=2,
    AND(MONTH(C643)=3, D643="UAE"),
    AND(MONTH(C643)=6, D643="UAE"),
    AND(MONTH(C643)=7, OR(D643="USA", D643="UK")),
    MONTH(C643)=9,
    AND(MONTH(C643)=11, OR(D643="USA", D643="UK"))
), "Yes", "No")</f>
        <v>Yes</v>
      </c>
      <c r="O643">
        <f t="shared" ref="O643:O706" si="75">IF(MONTH(C643)=2, 15,
IF(AND(MONTH(C643)=3, D643="UAE"), 20,
IF(AND(MONTH(C643)=6, D643="UAE"), 15,
IF(AND(MONTH(C643)=7, OR(D643="USA", D643="UK")), 20,
IF(AND(MONTH(C643)=11, OR(D643="USA", D643="UK")), 25,
0)))))</f>
        <v>0</v>
      </c>
      <c r="P643" t="str">
        <f t="shared" ref="P643:P706" si="76">IF(MONTH(C643)=2, "Valentine's Day",
IF(AND(MONTH(C643)=3, D643="UAE"), "Eid Al Fitr",
IF(AND(MONTH(C643)=6, D643="UAE"), "Eid Al Adha",
IF(AND(MONTH(C643)=7, OR(D643="USA", D643="UK")), "Summer Sale",
IF(MONTH(C643)=9, "Freedom Launch",
IF(AND(MONTH(C643)=11, OR(D643="USA", D643="UK")), "Black Friday",
"None"))))))</f>
        <v>Freedom Launch</v>
      </c>
      <c r="Q643" t="s">
        <v>124</v>
      </c>
    </row>
    <row r="644" spans="1:17" x14ac:dyDescent="0.3">
      <c r="A644">
        <v>643</v>
      </c>
      <c r="B644" t="s">
        <v>23</v>
      </c>
      <c r="C644" s="1">
        <v>45901</v>
      </c>
      <c r="D644" t="s">
        <v>29</v>
      </c>
      <c r="E644" t="s">
        <v>34</v>
      </c>
      <c r="F644" s="2" t="s">
        <v>35</v>
      </c>
      <c r="G644" t="str">
        <f t="shared" si="72"/>
        <v>Vanilla 28-UAE</v>
      </c>
      <c r="H644">
        <f t="shared" si="73"/>
        <v>441</v>
      </c>
      <c r="I644">
        <f>VLOOKUP(G644,Table4[[SKU-COUNTRY2]:[Price in USD]],2,FALSE)</f>
        <v>113.4</v>
      </c>
      <c r="J644">
        <f>VLOOKUP(G644,Sheet3!$C$82:$I$100,MATCH(E644,Sheet3!C$82:H$82,0),FALSE) * VLOOKUP(C644,Table8[],2,0)</f>
        <v>50000</v>
      </c>
      <c r="K644">
        <f>ROUND(J644*VLOOKUP(F644,Sheet3!$A$106:$C$111,2,FALSE),0)</f>
        <v>15000</v>
      </c>
      <c r="L644">
        <f t="shared" si="70"/>
        <v>35000</v>
      </c>
      <c r="M644">
        <f t="shared" si="71"/>
        <v>70</v>
      </c>
      <c r="N644" t="str">
        <f t="shared" si="74"/>
        <v>Yes</v>
      </c>
      <c r="O644">
        <f t="shared" si="75"/>
        <v>0</v>
      </c>
      <c r="P644" t="str">
        <f t="shared" si="76"/>
        <v>Freedom Launch</v>
      </c>
      <c r="Q644" t="s">
        <v>124</v>
      </c>
    </row>
    <row r="645" spans="1:17" x14ac:dyDescent="0.3">
      <c r="A645">
        <v>644</v>
      </c>
      <c r="B645" t="s">
        <v>23</v>
      </c>
      <c r="C645" s="1">
        <v>45901</v>
      </c>
      <c r="D645" t="s">
        <v>29</v>
      </c>
      <c r="E645" t="s">
        <v>34</v>
      </c>
      <c r="F645" s="2" t="s">
        <v>36</v>
      </c>
      <c r="G645" t="str">
        <f t="shared" si="72"/>
        <v>Eden Juicy Apple 01-UAE</v>
      </c>
      <c r="H645">
        <f t="shared" si="73"/>
        <v>331</v>
      </c>
      <c r="I645">
        <f>VLOOKUP(G645,Table4[[SKU-COUNTRY2]:[Price in USD]],2,FALSE)</f>
        <v>113.4</v>
      </c>
      <c r="J645">
        <f>VLOOKUP(G645,Sheet3!$C$82:$I$100,MATCH(E645,Sheet3!C$82:H$82,0),FALSE) * VLOOKUP(C645,Table8[],2,0)</f>
        <v>37500</v>
      </c>
      <c r="K645">
        <f>ROUND(J645*VLOOKUP(F645,Sheet3!$A$106:$C$111,2,FALSE),0)</f>
        <v>11625</v>
      </c>
      <c r="L645">
        <f t="shared" si="70"/>
        <v>25875</v>
      </c>
      <c r="M645">
        <f t="shared" si="71"/>
        <v>69</v>
      </c>
      <c r="N645" t="str">
        <f t="shared" si="74"/>
        <v>Yes</v>
      </c>
      <c r="O645">
        <f t="shared" si="75"/>
        <v>0</v>
      </c>
      <c r="P645" t="str">
        <f t="shared" si="76"/>
        <v>Freedom Launch</v>
      </c>
      <c r="Q645" t="s">
        <v>124</v>
      </c>
    </row>
    <row r="646" spans="1:17" x14ac:dyDescent="0.3">
      <c r="A646">
        <v>645</v>
      </c>
      <c r="B646" t="s">
        <v>23</v>
      </c>
      <c r="C646" s="1">
        <v>45901</v>
      </c>
      <c r="D646" t="s">
        <v>29</v>
      </c>
      <c r="E646" t="s">
        <v>34</v>
      </c>
      <c r="F646" s="2" t="s">
        <v>37</v>
      </c>
      <c r="G646" t="str">
        <f t="shared" si="72"/>
        <v>Oudgasm Tobacco Oud 04-UAE</v>
      </c>
      <c r="H646">
        <f t="shared" si="73"/>
        <v>588</v>
      </c>
      <c r="I646">
        <f>VLOOKUP(G646,Table4[[SKU-COUNTRY2]:[Price in USD]],2,FALSE)</f>
        <v>148.77000000000001</v>
      </c>
      <c r="J646">
        <f>VLOOKUP(G646,Sheet3!$C$82:$I$100,MATCH(E646,Sheet3!C$82:H$82,0),FALSE) * VLOOKUP(C646,Table8[],2,0)</f>
        <v>87500</v>
      </c>
      <c r="K646">
        <f>ROUND(J646*VLOOKUP(F646,Sheet3!$A$106:$C$111,2,FALSE),0)</f>
        <v>30625</v>
      </c>
      <c r="L646">
        <f t="shared" si="70"/>
        <v>56875</v>
      </c>
      <c r="M646">
        <f t="shared" si="71"/>
        <v>65</v>
      </c>
      <c r="N646" t="str">
        <f t="shared" si="74"/>
        <v>Yes</v>
      </c>
      <c r="O646">
        <f t="shared" si="75"/>
        <v>0</v>
      </c>
      <c r="P646" t="str">
        <f t="shared" si="76"/>
        <v>Freedom Launch</v>
      </c>
      <c r="Q646" t="s">
        <v>124</v>
      </c>
    </row>
    <row r="647" spans="1:17" x14ac:dyDescent="0.3">
      <c r="A647">
        <v>646</v>
      </c>
      <c r="B647" t="s">
        <v>23</v>
      </c>
      <c r="C647" s="1">
        <v>45901</v>
      </c>
      <c r="D647" t="s">
        <v>29</v>
      </c>
      <c r="E647" t="s">
        <v>34</v>
      </c>
      <c r="F647" s="2" t="s">
        <v>38</v>
      </c>
      <c r="G647" t="str">
        <f t="shared" si="72"/>
        <v>Yum Pistachio Gelato 33-UAE</v>
      </c>
      <c r="H647">
        <f t="shared" si="73"/>
        <v>265</v>
      </c>
      <c r="I647">
        <f>VLOOKUP(G647,Table4[[SKU-COUNTRY2]:[Price in USD]],2,FALSE)</f>
        <v>113.4</v>
      </c>
      <c r="J647">
        <f>VLOOKUP(G647,Sheet3!$C$82:$I$100,MATCH(E647,Sheet3!C$82:H$82,0),FALSE) * VLOOKUP(C647,Table8[],2,0)</f>
        <v>30000</v>
      </c>
      <c r="K647">
        <f>ROUND(J647*VLOOKUP(F647,Sheet3!$A$106:$C$111,2,FALSE),0)</f>
        <v>9300</v>
      </c>
      <c r="L647">
        <f t="shared" si="70"/>
        <v>20700</v>
      </c>
      <c r="M647">
        <f t="shared" si="71"/>
        <v>69</v>
      </c>
      <c r="N647" t="str">
        <f t="shared" si="74"/>
        <v>Yes</v>
      </c>
      <c r="O647">
        <f t="shared" si="75"/>
        <v>0</v>
      </c>
      <c r="P647" t="str">
        <f t="shared" si="76"/>
        <v>Freedom Launch</v>
      </c>
      <c r="Q647" t="s">
        <v>124</v>
      </c>
    </row>
    <row r="648" spans="1:17" x14ac:dyDescent="0.3">
      <c r="A648">
        <v>647</v>
      </c>
      <c r="B648" t="s">
        <v>23</v>
      </c>
      <c r="C648" s="1">
        <v>45901</v>
      </c>
      <c r="D648" t="s">
        <v>29</v>
      </c>
      <c r="E648" t="s">
        <v>34</v>
      </c>
      <c r="F648" s="2" t="s">
        <v>39</v>
      </c>
      <c r="G648" t="str">
        <f t="shared" si="72"/>
        <v>Freedom Musk Santal 34-UAE</v>
      </c>
      <c r="H648">
        <f t="shared" si="73"/>
        <v>220</v>
      </c>
      <c r="I648">
        <f>VLOOKUP(G648,Table4[[SKU-COUNTRY2]:[Price in USD]],2,FALSE)</f>
        <v>113.4</v>
      </c>
      <c r="J648">
        <f>VLOOKUP(G648,Sheet3!$C$82:$I$100,MATCH(E648,Sheet3!C$82:H$82,0),FALSE) * VLOOKUP(C648,Table8[],2,0)</f>
        <v>25000</v>
      </c>
      <c r="K648">
        <f>ROUND(J648*VLOOKUP(F648,Sheet3!$A$106:$C$111,2,FALSE),0)</f>
        <v>8000</v>
      </c>
      <c r="L648">
        <f t="shared" si="70"/>
        <v>17000</v>
      </c>
      <c r="M648">
        <f t="shared" si="71"/>
        <v>68</v>
      </c>
      <c r="N648" t="str">
        <f t="shared" si="74"/>
        <v>Yes</v>
      </c>
      <c r="O648">
        <f t="shared" si="75"/>
        <v>0</v>
      </c>
      <c r="P648" t="str">
        <f t="shared" si="76"/>
        <v>Freedom Launch</v>
      </c>
      <c r="Q648" t="s">
        <v>124</v>
      </c>
    </row>
    <row r="649" spans="1:17" x14ac:dyDescent="0.3">
      <c r="A649">
        <v>648</v>
      </c>
      <c r="B649" t="s">
        <v>23</v>
      </c>
      <c r="C649" s="1">
        <v>45901</v>
      </c>
      <c r="D649" t="s">
        <v>29</v>
      </c>
      <c r="E649" t="s">
        <v>34</v>
      </c>
      <c r="F649" s="2" t="s">
        <v>40</v>
      </c>
      <c r="G649" t="str">
        <f t="shared" si="72"/>
        <v>Musk 12-UAE</v>
      </c>
      <c r="H649">
        <f t="shared" si="73"/>
        <v>176</v>
      </c>
      <c r="I649">
        <f>VLOOKUP(G649,Table4[[SKU-COUNTRY2]:[Price in USD]],2,FALSE)</f>
        <v>113.4</v>
      </c>
      <c r="J649">
        <f>VLOOKUP(G649,Sheet3!$C$82:$I$100,MATCH(E649,Sheet3!C$82:H$82,0),FALSE) * VLOOKUP(C649,Table8[],2,0)</f>
        <v>20000</v>
      </c>
      <c r="K649">
        <f>ROUND(J649*VLOOKUP(F649,Sheet3!$A$106:$C$111,2,FALSE),0)</f>
        <v>6000</v>
      </c>
      <c r="L649">
        <f t="shared" si="70"/>
        <v>14000</v>
      </c>
      <c r="M649">
        <f t="shared" si="71"/>
        <v>70</v>
      </c>
      <c r="N649" t="str">
        <f t="shared" si="74"/>
        <v>Yes</v>
      </c>
      <c r="O649">
        <f t="shared" si="75"/>
        <v>0</v>
      </c>
      <c r="P649" t="str">
        <f t="shared" si="76"/>
        <v>Freedom Launch</v>
      </c>
      <c r="Q649" t="s">
        <v>124</v>
      </c>
    </row>
    <row r="650" spans="1:17" x14ac:dyDescent="0.3">
      <c r="A650">
        <v>649</v>
      </c>
      <c r="B650" t="s">
        <v>24</v>
      </c>
      <c r="C650" s="1">
        <v>45931</v>
      </c>
      <c r="D650" t="s">
        <v>28</v>
      </c>
      <c r="E650" t="s">
        <v>32</v>
      </c>
      <c r="F650" s="2" t="s">
        <v>35</v>
      </c>
      <c r="G650" t="str">
        <f t="shared" si="72"/>
        <v>Vanilla 28-USA</v>
      </c>
      <c r="H650">
        <f t="shared" si="73"/>
        <v>28233</v>
      </c>
      <c r="I650">
        <f>VLOOKUP(G650,Table4[[SKU-COUNTRY2]:[Price in USD]],2,FALSE)</f>
        <v>105</v>
      </c>
      <c r="J650">
        <f>VLOOKUP(G650,Sheet3!$C$82:$I$100,MATCH(E650,Sheet3!C$82:H$82,0),FALSE) * VLOOKUP(C650,Table8[],2,0)</f>
        <v>2964500.0000000005</v>
      </c>
      <c r="K650">
        <f>ROUND(J650*VLOOKUP(F650,Sheet3!$A$106:$C$111,2,FALSE),0)</f>
        <v>889350</v>
      </c>
      <c r="L650">
        <f t="shared" si="70"/>
        <v>2075150.0000000005</v>
      </c>
      <c r="M650">
        <f t="shared" si="71"/>
        <v>70</v>
      </c>
      <c r="N650" t="str">
        <f t="shared" si="74"/>
        <v>No</v>
      </c>
      <c r="O650">
        <f t="shared" si="75"/>
        <v>0</v>
      </c>
      <c r="P650" t="str">
        <f t="shared" si="76"/>
        <v>None</v>
      </c>
      <c r="Q650" t="s">
        <v>124</v>
      </c>
    </row>
    <row r="651" spans="1:17" x14ac:dyDescent="0.3">
      <c r="A651">
        <v>650</v>
      </c>
      <c r="B651" t="s">
        <v>24</v>
      </c>
      <c r="C651" s="1">
        <v>45931</v>
      </c>
      <c r="D651" t="s">
        <v>28</v>
      </c>
      <c r="E651" t="s">
        <v>32</v>
      </c>
      <c r="F651" s="2" t="s">
        <v>36</v>
      </c>
      <c r="G651" t="str">
        <f t="shared" si="72"/>
        <v>Eden Juicy Apple 01-USA</v>
      </c>
      <c r="H651">
        <f t="shared" si="73"/>
        <v>16133</v>
      </c>
      <c r="I651">
        <f>VLOOKUP(G651,Table4[[SKU-COUNTRY2]:[Price in USD]],2,FALSE)</f>
        <v>105</v>
      </c>
      <c r="J651">
        <f>VLOOKUP(G651,Sheet3!$C$82:$I$100,MATCH(E651,Sheet3!C$82:H$82,0),FALSE) * VLOOKUP(C651,Table8[],2,0)</f>
        <v>1694000.0000000005</v>
      </c>
      <c r="K651">
        <f>ROUND(J651*VLOOKUP(F651,Sheet3!$A$106:$C$111,2,FALSE),0)</f>
        <v>525140</v>
      </c>
      <c r="L651">
        <f t="shared" si="70"/>
        <v>1168860.0000000005</v>
      </c>
      <c r="M651">
        <f t="shared" si="71"/>
        <v>69</v>
      </c>
      <c r="N651" t="str">
        <f t="shared" si="74"/>
        <v>No</v>
      </c>
      <c r="O651">
        <f t="shared" si="75"/>
        <v>0</v>
      </c>
      <c r="P651" t="str">
        <f t="shared" si="76"/>
        <v>None</v>
      </c>
      <c r="Q651" t="s">
        <v>124</v>
      </c>
    </row>
    <row r="652" spans="1:17" x14ac:dyDescent="0.3">
      <c r="A652">
        <v>651</v>
      </c>
      <c r="B652" t="s">
        <v>24</v>
      </c>
      <c r="C652" s="1">
        <v>45931</v>
      </c>
      <c r="D652" t="s">
        <v>28</v>
      </c>
      <c r="E652" t="s">
        <v>32</v>
      </c>
      <c r="F652" s="2" t="s">
        <v>37</v>
      </c>
      <c r="G652" t="str">
        <f t="shared" si="72"/>
        <v>Oudgasm Tobacco Oud 04-USA</v>
      </c>
      <c r="H652">
        <f t="shared" si="73"/>
        <v>10890</v>
      </c>
      <c r="I652">
        <f>VLOOKUP(G652,Table4[[SKU-COUNTRY2]:[Price in USD]],2,FALSE)</f>
        <v>140</v>
      </c>
      <c r="J652">
        <f>VLOOKUP(G652,Sheet3!$C$82:$I$100,MATCH(E652,Sheet3!C$82:H$82,0),FALSE) * VLOOKUP(C652,Table8[],2,0)</f>
        <v>1524600.0000000002</v>
      </c>
      <c r="K652">
        <f>ROUND(J652*VLOOKUP(F652,Sheet3!$A$106:$C$111,2,FALSE),0)</f>
        <v>533610</v>
      </c>
      <c r="L652">
        <f t="shared" si="70"/>
        <v>990990.00000000023</v>
      </c>
      <c r="M652">
        <f t="shared" si="71"/>
        <v>65</v>
      </c>
      <c r="N652" t="str">
        <f t="shared" si="74"/>
        <v>No</v>
      </c>
      <c r="O652">
        <f t="shared" si="75"/>
        <v>0</v>
      </c>
      <c r="P652" t="str">
        <f t="shared" si="76"/>
        <v>None</v>
      </c>
      <c r="Q652" t="s">
        <v>124</v>
      </c>
    </row>
    <row r="653" spans="1:17" x14ac:dyDescent="0.3">
      <c r="A653">
        <v>652</v>
      </c>
      <c r="B653" t="s">
        <v>24</v>
      </c>
      <c r="C653" s="1">
        <v>45931</v>
      </c>
      <c r="D653" t="s">
        <v>28</v>
      </c>
      <c r="E653" t="s">
        <v>32</v>
      </c>
      <c r="F653" s="2" t="s">
        <v>38</v>
      </c>
      <c r="G653" t="str">
        <f t="shared" si="72"/>
        <v>Yum Pistachio Gelato 33-USA</v>
      </c>
      <c r="H653">
        <f t="shared" si="73"/>
        <v>9680</v>
      </c>
      <c r="I653">
        <f>VLOOKUP(G653,Table4[[SKU-COUNTRY2]:[Price in USD]],2,FALSE)</f>
        <v>105</v>
      </c>
      <c r="J653">
        <f>VLOOKUP(G653,Sheet3!$C$82:$I$100,MATCH(E653,Sheet3!C$82:H$82,0),FALSE) * VLOOKUP(C653,Table8[],2,0)</f>
        <v>1016400.0000000002</v>
      </c>
      <c r="K653">
        <f>ROUND(J653*VLOOKUP(F653,Sheet3!$A$106:$C$111,2,FALSE),0)</f>
        <v>315084</v>
      </c>
      <c r="L653">
        <f t="shared" si="70"/>
        <v>701316.00000000023</v>
      </c>
      <c r="M653">
        <f t="shared" si="71"/>
        <v>69</v>
      </c>
      <c r="N653" t="str">
        <f t="shared" si="74"/>
        <v>No</v>
      </c>
      <c r="O653">
        <f t="shared" si="75"/>
        <v>0</v>
      </c>
      <c r="P653" t="str">
        <f t="shared" si="76"/>
        <v>None</v>
      </c>
      <c r="Q653" t="s">
        <v>124</v>
      </c>
    </row>
    <row r="654" spans="1:17" x14ac:dyDescent="0.3">
      <c r="A654">
        <v>653</v>
      </c>
      <c r="B654" t="s">
        <v>24</v>
      </c>
      <c r="C654" s="1">
        <v>45931</v>
      </c>
      <c r="D654" t="s">
        <v>28</v>
      </c>
      <c r="E654" t="s">
        <v>32</v>
      </c>
      <c r="F654" s="2" t="s">
        <v>39</v>
      </c>
      <c r="G654" t="str">
        <f t="shared" si="72"/>
        <v>Freedom Musk Santal 34-USA</v>
      </c>
      <c r="H654">
        <f t="shared" si="73"/>
        <v>8067</v>
      </c>
      <c r="I654">
        <f>VLOOKUP(G654,Table4[[SKU-COUNTRY2]:[Price in USD]],2,FALSE)</f>
        <v>105</v>
      </c>
      <c r="J654">
        <f>VLOOKUP(G654,Sheet3!$C$82:$I$100,MATCH(E654,Sheet3!C$82:H$82,0),FALSE) * VLOOKUP(C654,Table8[],2,0)</f>
        <v>847000.00000000023</v>
      </c>
      <c r="K654">
        <f>ROUND(J654*VLOOKUP(F654,Sheet3!$A$106:$C$111,2,FALSE),0)</f>
        <v>271040</v>
      </c>
      <c r="L654">
        <f t="shared" si="70"/>
        <v>575960.00000000023</v>
      </c>
      <c r="M654">
        <f t="shared" si="71"/>
        <v>68</v>
      </c>
      <c r="N654" t="str">
        <f t="shared" si="74"/>
        <v>No</v>
      </c>
      <c r="O654">
        <f t="shared" si="75"/>
        <v>0</v>
      </c>
      <c r="P654" t="str">
        <f t="shared" si="76"/>
        <v>None</v>
      </c>
      <c r="Q654" t="s">
        <v>124</v>
      </c>
    </row>
    <row r="655" spans="1:17" x14ac:dyDescent="0.3">
      <c r="A655">
        <v>654</v>
      </c>
      <c r="B655" t="s">
        <v>24</v>
      </c>
      <c r="C655" s="1">
        <v>45931</v>
      </c>
      <c r="D655" t="s">
        <v>28</v>
      </c>
      <c r="E655" t="s">
        <v>32</v>
      </c>
      <c r="F655" s="2" t="s">
        <v>40</v>
      </c>
      <c r="G655" t="str">
        <f t="shared" si="72"/>
        <v>Musk 12-USA</v>
      </c>
      <c r="H655">
        <f t="shared" si="73"/>
        <v>4033</v>
      </c>
      <c r="I655">
        <f>VLOOKUP(G655,Table4[[SKU-COUNTRY2]:[Price in USD]],2,FALSE)</f>
        <v>105</v>
      </c>
      <c r="J655">
        <f>VLOOKUP(G655,Sheet3!$C$82:$I$100,MATCH(E655,Sheet3!C$82:H$82,0),FALSE) * VLOOKUP(C655,Table8[],2,0)</f>
        <v>423500.00000000012</v>
      </c>
      <c r="K655">
        <f>ROUND(J655*VLOOKUP(F655,Sheet3!$A$106:$C$111,2,FALSE),0)</f>
        <v>127050</v>
      </c>
      <c r="L655">
        <f t="shared" si="70"/>
        <v>296450.00000000012</v>
      </c>
      <c r="M655">
        <f t="shared" si="71"/>
        <v>70</v>
      </c>
      <c r="N655" t="str">
        <f t="shared" si="74"/>
        <v>No</v>
      </c>
      <c r="O655">
        <f t="shared" si="75"/>
        <v>0</v>
      </c>
      <c r="P655" t="str">
        <f t="shared" si="76"/>
        <v>None</v>
      </c>
      <c r="Q655" t="s">
        <v>124</v>
      </c>
    </row>
    <row r="656" spans="1:17" x14ac:dyDescent="0.3">
      <c r="A656">
        <v>655</v>
      </c>
      <c r="B656" t="s">
        <v>24</v>
      </c>
      <c r="C656" s="1">
        <v>45931</v>
      </c>
      <c r="D656" t="s">
        <v>28</v>
      </c>
      <c r="E656" t="s">
        <v>31</v>
      </c>
      <c r="F656" s="2" t="s">
        <v>35</v>
      </c>
      <c r="G656" t="str">
        <f t="shared" si="72"/>
        <v>Vanilla 28-USA</v>
      </c>
      <c r="H656">
        <f t="shared" si="73"/>
        <v>12833</v>
      </c>
      <c r="I656">
        <f>VLOOKUP(G656,Table4[[SKU-COUNTRY2]:[Price in USD]],2,FALSE)</f>
        <v>105</v>
      </c>
      <c r="J656">
        <f>VLOOKUP(G656,Sheet3!$C$82:$I$100,MATCH(E656,Sheet3!C$82:H$82,0),FALSE) * VLOOKUP(C656,Table8[],2,0)</f>
        <v>1347500</v>
      </c>
      <c r="K656">
        <f>ROUND(J656*VLOOKUP(F656,Sheet3!$A$106:$C$111,2,FALSE),0)</f>
        <v>404250</v>
      </c>
      <c r="L656">
        <f t="shared" si="70"/>
        <v>943250</v>
      </c>
      <c r="M656">
        <f t="shared" si="71"/>
        <v>70</v>
      </c>
      <c r="N656" t="str">
        <f t="shared" si="74"/>
        <v>No</v>
      </c>
      <c r="O656">
        <f t="shared" si="75"/>
        <v>0</v>
      </c>
      <c r="P656" t="str">
        <f t="shared" si="76"/>
        <v>None</v>
      </c>
      <c r="Q656" t="s">
        <v>124</v>
      </c>
    </row>
    <row r="657" spans="1:17" x14ac:dyDescent="0.3">
      <c r="A657">
        <v>656</v>
      </c>
      <c r="B657" t="s">
        <v>24</v>
      </c>
      <c r="C657" s="1">
        <v>45931</v>
      </c>
      <c r="D657" t="s">
        <v>28</v>
      </c>
      <c r="E657" t="s">
        <v>31</v>
      </c>
      <c r="F657" s="2" t="s">
        <v>36</v>
      </c>
      <c r="G657" t="str">
        <f t="shared" si="72"/>
        <v>Eden Juicy Apple 01-USA</v>
      </c>
      <c r="H657">
        <f t="shared" si="73"/>
        <v>7333</v>
      </c>
      <c r="I657">
        <f>VLOOKUP(G657,Table4[[SKU-COUNTRY2]:[Price in USD]],2,FALSE)</f>
        <v>105</v>
      </c>
      <c r="J657">
        <f>VLOOKUP(G657,Sheet3!$C$82:$I$100,MATCH(E657,Sheet3!C$82:H$82,0),FALSE) * VLOOKUP(C657,Table8[],2,0)</f>
        <v>770000.00000000012</v>
      </c>
      <c r="K657">
        <f>ROUND(J657*VLOOKUP(F657,Sheet3!$A$106:$C$111,2,FALSE),0)</f>
        <v>238700</v>
      </c>
      <c r="L657">
        <f t="shared" si="70"/>
        <v>531300.00000000012</v>
      </c>
      <c r="M657">
        <f t="shared" si="71"/>
        <v>69</v>
      </c>
      <c r="N657" t="str">
        <f t="shared" si="74"/>
        <v>No</v>
      </c>
      <c r="O657">
        <f t="shared" si="75"/>
        <v>0</v>
      </c>
      <c r="P657" t="str">
        <f t="shared" si="76"/>
        <v>None</v>
      </c>
      <c r="Q657" t="s">
        <v>124</v>
      </c>
    </row>
    <row r="658" spans="1:17" x14ac:dyDescent="0.3">
      <c r="A658">
        <v>657</v>
      </c>
      <c r="B658" t="s">
        <v>24</v>
      </c>
      <c r="C658" s="1">
        <v>45931</v>
      </c>
      <c r="D658" t="s">
        <v>28</v>
      </c>
      <c r="E658" t="s">
        <v>31</v>
      </c>
      <c r="F658" s="2" t="s">
        <v>37</v>
      </c>
      <c r="G658" t="str">
        <f t="shared" si="72"/>
        <v>Oudgasm Tobacco Oud 04-USA</v>
      </c>
      <c r="H658">
        <f t="shared" si="73"/>
        <v>4950</v>
      </c>
      <c r="I658">
        <f>VLOOKUP(G658,Table4[[SKU-COUNTRY2]:[Price in USD]],2,FALSE)</f>
        <v>140</v>
      </c>
      <c r="J658">
        <f>VLOOKUP(G658,Sheet3!$C$82:$I$100,MATCH(E658,Sheet3!C$82:H$82,0),FALSE) * VLOOKUP(C658,Table8[],2,0)</f>
        <v>693000</v>
      </c>
      <c r="K658">
        <f>ROUND(J658*VLOOKUP(F658,Sheet3!$A$106:$C$111,2,FALSE),0)</f>
        <v>242550</v>
      </c>
      <c r="L658">
        <f t="shared" si="70"/>
        <v>450450</v>
      </c>
      <c r="M658">
        <f t="shared" si="71"/>
        <v>65</v>
      </c>
      <c r="N658" t="str">
        <f t="shared" si="74"/>
        <v>No</v>
      </c>
      <c r="O658">
        <f t="shared" si="75"/>
        <v>0</v>
      </c>
      <c r="P658" t="str">
        <f t="shared" si="76"/>
        <v>None</v>
      </c>
      <c r="Q658" t="s">
        <v>124</v>
      </c>
    </row>
    <row r="659" spans="1:17" x14ac:dyDescent="0.3">
      <c r="A659">
        <v>658</v>
      </c>
      <c r="B659" t="s">
        <v>24</v>
      </c>
      <c r="C659" s="1">
        <v>45931</v>
      </c>
      <c r="D659" t="s">
        <v>28</v>
      </c>
      <c r="E659" t="s">
        <v>31</v>
      </c>
      <c r="F659" s="2" t="s">
        <v>38</v>
      </c>
      <c r="G659" t="str">
        <f t="shared" si="72"/>
        <v>Yum Pistachio Gelato 33-USA</v>
      </c>
      <c r="H659">
        <f t="shared" si="73"/>
        <v>4400</v>
      </c>
      <c r="I659">
        <f>VLOOKUP(G659,Table4[[SKU-COUNTRY2]:[Price in USD]],2,FALSE)</f>
        <v>105</v>
      </c>
      <c r="J659">
        <f>VLOOKUP(G659,Sheet3!$C$82:$I$100,MATCH(E659,Sheet3!C$82:H$82,0),FALSE) * VLOOKUP(C659,Table8[],2,0)</f>
        <v>462000.00000000006</v>
      </c>
      <c r="K659">
        <f>ROUND(J659*VLOOKUP(F659,Sheet3!$A$106:$C$111,2,FALSE),0)</f>
        <v>143220</v>
      </c>
      <c r="L659">
        <f t="shared" si="70"/>
        <v>318780.00000000006</v>
      </c>
      <c r="M659">
        <f t="shared" si="71"/>
        <v>69</v>
      </c>
      <c r="N659" t="str">
        <f t="shared" si="74"/>
        <v>No</v>
      </c>
      <c r="O659">
        <f t="shared" si="75"/>
        <v>0</v>
      </c>
      <c r="P659" t="str">
        <f t="shared" si="76"/>
        <v>None</v>
      </c>
      <c r="Q659" t="s">
        <v>124</v>
      </c>
    </row>
    <row r="660" spans="1:17" x14ac:dyDescent="0.3">
      <c r="A660">
        <v>659</v>
      </c>
      <c r="B660" t="s">
        <v>24</v>
      </c>
      <c r="C660" s="1">
        <v>45931</v>
      </c>
      <c r="D660" t="s">
        <v>28</v>
      </c>
      <c r="E660" t="s">
        <v>31</v>
      </c>
      <c r="F660" s="2" t="s">
        <v>39</v>
      </c>
      <c r="G660" t="str">
        <f t="shared" si="72"/>
        <v>Freedom Musk Santal 34-USA</v>
      </c>
      <c r="H660">
        <f t="shared" si="73"/>
        <v>3667</v>
      </c>
      <c r="I660">
        <f>VLOOKUP(G660,Table4[[SKU-COUNTRY2]:[Price in USD]],2,FALSE)</f>
        <v>105</v>
      </c>
      <c r="J660">
        <f>VLOOKUP(G660,Sheet3!$C$82:$I$100,MATCH(E660,Sheet3!C$82:H$82,0),FALSE) * VLOOKUP(C660,Table8[],2,0)</f>
        <v>385000.00000000006</v>
      </c>
      <c r="K660">
        <f>ROUND(J660*VLOOKUP(F660,Sheet3!$A$106:$C$111,2,FALSE),0)</f>
        <v>123200</v>
      </c>
      <c r="L660">
        <f t="shared" si="70"/>
        <v>261800.00000000006</v>
      </c>
      <c r="M660">
        <f t="shared" si="71"/>
        <v>68</v>
      </c>
      <c r="N660" t="str">
        <f t="shared" si="74"/>
        <v>No</v>
      </c>
      <c r="O660">
        <f t="shared" si="75"/>
        <v>0</v>
      </c>
      <c r="P660" t="str">
        <f t="shared" si="76"/>
        <v>None</v>
      </c>
      <c r="Q660" t="s">
        <v>124</v>
      </c>
    </row>
    <row r="661" spans="1:17" x14ac:dyDescent="0.3">
      <c r="A661">
        <v>660</v>
      </c>
      <c r="B661" t="s">
        <v>24</v>
      </c>
      <c r="C661" s="1">
        <v>45931</v>
      </c>
      <c r="D661" t="s">
        <v>28</v>
      </c>
      <c r="E661" t="s">
        <v>31</v>
      </c>
      <c r="F661" s="2" t="s">
        <v>40</v>
      </c>
      <c r="G661" t="str">
        <f t="shared" si="72"/>
        <v>Musk 12-USA</v>
      </c>
      <c r="H661">
        <f t="shared" si="73"/>
        <v>1833</v>
      </c>
      <c r="I661">
        <f>VLOOKUP(G661,Table4[[SKU-COUNTRY2]:[Price in USD]],2,FALSE)</f>
        <v>105</v>
      </c>
      <c r="J661">
        <f>VLOOKUP(G661,Sheet3!$C$82:$I$100,MATCH(E661,Sheet3!C$82:H$82,0),FALSE) * VLOOKUP(C661,Table8[],2,0)</f>
        <v>192500.00000000003</v>
      </c>
      <c r="K661">
        <f>ROUND(J661*VLOOKUP(F661,Sheet3!$A$106:$C$111,2,FALSE),0)</f>
        <v>57750</v>
      </c>
      <c r="L661">
        <f t="shared" si="70"/>
        <v>134750.00000000003</v>
      </c>
      <c r="M661">
        <f t="shared" si="71"/>
        <v>70</v>
      </c>
      <c r="N661" t="str">
        <f t="shared" si="74"/>
        <v>No</v>
      </c>
      <c r="O661">
        <f t="shared" si="75"/>
        <v>0</v>
      </c>
      <c r="P661" t="str">
        <f t="shared" si="76"/>
        <v>None</v>
      </c>
      <c r="Q661" t="s">
        <v>124</v>
      </c>
    </row>
    <row r="662" spans="1:17" x14ac:dyDescent="0.3">
      <c r="A662">
        <v>661</v>
      </c>
      <c r="B662" t="s">
        <v>24</v>
      </c>
      <c r="C662" s="1">
        <v>45931</v>
      </c>
      <c r="D662" t="s">
        <v>28</v>
      </c>
      <c r="E662" t="s">
        <v>33</v>
      </c>
      <c r="F662" s="2" t="s">
        <v>35</v>
      </c>
      <c r="G662" t="str">
        <f t="shared" si="72"/>
        <v>Vanilla 28-USA</v>
      </c>
      <c r="H662">
        <f t="shared" si="73"/>
        <v>6160</v>
      </c>
      <c r="I662">
        <f>VLOOKUP(G662,Table4[[SKU-COUNTRY2]:[Price in USD]],2,FALSE)</f>
        <v>105</v>
      </c>
      <c r="J662">
        <f>VLOOKUP(G662,Sheet3!$C$82:$I$100,MATCH(E662,Sheet3!C$82:H$82,0),FALSE) * VLOOKUP(C662,Table8[],2,0)</f>
        <v>646800</v>
      </c>
      <c r="K662">
        <f>ROUND(J662*VLOOKUP(F662,Sheet3!$A$106:$C$111,2,FALSE),0)</f>
        <v>194040</v>
      </c>
      <c r="L662">
        <f t="shared" si="70"/>
        <v>452760</v>
      </c>
      <c r="M662">
        <f t="shared" si="71"/>
        <v>70</v>
      </c>
      <c r="N662" t="str">
        <f t="shared" si="74"/>
        <v>No</v>
      </c>
      <c r="O662">
        <f t="shared" si="75"/>
        <v>0</v>
      </c>
      <c r="P662" t="str">
        <f t="shared" si="76"/>
        <v>None</v>
      </c>
      <c r="Q662" t="s">
        <v>124</v>
      </c>
    </row>
    <row r="663" spans="1:17" x14ac:dyDescent="0.3">
      <c r="A663">
        <v>662</v>
      </c>
      <c r="B663" t="s">
        <v>24</v>
      </c>
      <c r="C663" s="1">
        <v>45931</v>
      </c>
      <c r="D663" t="s">
        <v>28</v>
      </c>
      <c r="E663" t="s">
        <v>33</v>
      </c>
      <c r="F663" s="2" t="s">
        <v>36</v>
      </c>
      <c r="G663" t="str">
        <f t="shared" si="72"/>
        <v>Eden Juicy Apple 01-USA</v>
      </c>
      <c r="H663">
        <f t="shared" si="73"/>
        <v>3520</v>
      </c>
      <c r="I663">
        <f>VLOOKUP(G663,Table4[[SKU-COUNTRY2]:[Price in USD]],2,FALSE)</f>
        <v>105</v>
      </c>
      <c r="J663">
        <f>VLOOKUP(G663,Sheet3!$C$82:$I$100,MATCH(E663,Sheet3!C$82:H$82,0),FALSE) * VLOOKUP(C663,Table8[],2,0)</f>
        <v>369600.00000000006</v>
      </c>
      <c r="K663">
        <f>ROUND(J663*VLOOKUP(F663,Sheet3!$A$106:$C$111,2,FALSE),0)</f>
        <v>114576</v>
      </c>
      <c r="L663">
        <f t="shared" si="70"/>
        <v>255024.00000000006</v>
      </c>
      <c r="M663">
        <f t="shared" si="71"/>
        <v>69</v>
      </c>
      <c r="N663" t="str">
        <f t="shared" si="74"/>
        <v>No</v>
      </c>
      <c r="O663">
        <f t="shared" si="75"/>
        <v>0</v>
      </c>
      <c r="P663" t="str">
        <f t="shared" si="76"/>
        <v>None</v>
      </c>
      <c r="Q663" t="s">
        <v>124</v>
      </c>
    </row>
    <row r="664" spans="1:17" x14ac:dyDescent="0.3">
      <c r="A664">
        <v>663</v>
      </c>
      <c r="B664" t="s">
        <v>24</v>
      </c>
      <c r="C664" s="1">
        <v>45931</v>
      </c>
      <c r="D664" t="s">
        <v>28</v>
      </c>
      <c r="E664" t="s">
        <v>33</v>
      </c>
      <c r="F664" s="2" t="s">
        <v>37</v>
      </c>
      <c r="G664" t="str">
        <f t="shared" si="72"/>
        <v>Oudgasm Tobacco Oud 04-USA</v>
      </c>
      <c r="H664">
        <f t="shared" si="73"/>
        <v>2376</v>
      </c>
      <c r="I664">
        <f>VLOOKUP(G664,Table4[[SKU-COUNTRY2]:[Price in USD]],2,FALSE)</f>
        <v>140</v>
      </c>
      <c r="J664">
        <f>VLOOKUP(G664,Sheet3!$C$82:$I$100,MATCH(E664,Sheet3!C$82:H$82,0),FALSE) * VLOOKUP(C664,Table8[],2,0)</f>
        <v>332640</v>
      </c>
      <c r="K664">
        <f>ROUND(J664*VLOOKUP(F664,Sheet3!$A$106:$C$111,2,FALSE),0)</f>
        <v>116424</v>
      </c>
      <c r="L664">
        <f t="shared" si="70"/>
        <v>216216</v>
      </c>
      <c r="M664">
        <f t="shared" si="71"/>
        <v>65</v>
      </c>
      <c r="N664" t="str">
        <f t="shared" si="74"/>
        <v>No</v>
      </c>
      <c r="O664">
        <f t="shared" si="75"/>
        <v>0</v>
      </c>
      <c r="P664" t="str">
        <f t="shared" si="76"/>
        <v>None</v>
      </c>
      <c r="Q664" t="s">
        <v>124</v>
      </c>
    </row>
    <row r="665" spans="1:17" x14ac:dyDescent="0.3">
      <c r="A665">
        <v>664</v>
      </c>
      <c r="B665" t="s">
        <v>24</v>
      </c>
      <c r="C665" s="1">
        <v>45931</v>
      </c>
      <c r="D665" t="s">
        <v>28</v>
      </c>
      <c r="E665" t="s">
        <v>33</v>
      </c>
      <c r="F665" s="2" t="s">
        <v>38</v>
      </c>
      <c r="G665" t="str">
        <f t="shared" si="72"/>
        <v>Yum Pistachio Gelato 33-USA</v>
      </c>
      <c r="H665">
        <f t="shared" si="73"/>
        <v>2112</v>
      </c>
      <c r="I665">
        <f>VLOOKUP(G665,Table4[[SKU-COUNTRY2]:[Price in USD]],2,FALSE)</f>
        <v>105</v>
      </c>
      <c r="J665">
        <f>VLOOKUP(G665,Sheet3!$C$82:$I$100,MATCH(E665,Sheet3!C$82:H$82,0),FALSE) * VLOOKUP(C665,Table8[],2,0)</f>
        <v>221760.00000000003</v>
      </c>
      <c r="K665">
        <f>ROUND(J665*VLOOKUP(F665,Sheet3!$A$106:$C$111,2,FALSE),0)</f>
        <v>68746</v>
      </c>
      <c r="L665">
        <f t="shared" si="70"/>
        <v>153014.00000000003</v>
      </c>
      <c r="M665">
        <f t="shared" si="71"/>
        <v>69</v>
      </c>
      <c r="N665" t="str">
        <f t="shared" si="74"/>
        <v>No</v>
      </c>
      <c r="O665">
        <f t="shared" si="75"/>
        <v>0</v>
      </c>
      <c r="P665" t="str">
        <f t="shared" si="76"/>
        <v>None</v>
      </c>
      <c r="Q665" t="s">
        <v>124</v>
      </c>
    </row>
    <row r="666" spans="1:17" x14ac:dyDescent="0.3">
      <c r="A666">
        <v>665</v>
      </c>
      <c r="B666" t="s">
        <v>24</v>
      </c>
      <c r="C666" s="1">
        <v>45931</v>
      </c>
      <c r="D666" t="s">
        <v>28</v>
      </c>
      <c r="E666" t="s">
        <v>33</v>
      </c>
      <c r="F666" s="2" t="s">
        <v>39</v>
      </c>
      <c r="G666" t="str">
        <f t="shared" si="72"/>
        <v>Freedom Musk Santal 34-USA</v>
      </c>
      <c r="H666">
        <f t="shared" si="73"/>
        <v>1760</v>
      </c>
      <c r="I666">
        <f>VLOOKUP(G666,Table4[[SKU-COUNTRY2]:[Price in USD]],2,FALSE)</f>
        <v>105</v>
      </c>
      <c r="J666">
        <f>VLOOKUP(G666,Sheet3!$C$82:$I$100,MATCH(E666,Sheet3!C$82:H$82,0),FALSE) * VLOOKUP(C666,Table8[],2,0)</f>
        <v>184800.00000000003</v>
      </c>
      <c r="K666">
        <f>ROUND(J666*VLOOKUP(F666,Sheet3!$A$106:$C$111,2,FALSE),0)</f>
        <v>59136</v>
      </c>
      <c r="L666">
        <f t="shared" si="70"/>
        <v>125664.00000000003</v>
      </c>
      <c r="M666">
        <f t="shared" si="71"/>
        <v>68</v>
      </c>
      <c r="N666" t="str">
        <f t="shared" si="74"/>
        <v>No</v>
      </c>
      <c r="O666">
        <f t="shared" si="75"/>
        <v>0</v>
      </c>
      <c r="P666" t="str">
        <f t="shared" si="76"/>
        <v>None</v>
      </c>
      <c r="Q666" t="s">
        <v>124</v>
      </c>
    </row>
    <row r="667" spans="1:17" x14ac:dyDescent="0.3">
      <c r="A667">
        <v>666</v>
      </c>
      <c r="B667" t="s">
        <v>24</v>
      </c>
      <c r="C667" s="1">
        <v>45931</v>
      </c>
      <c r="D667" t="s">
        <v>28</v>
      </c>
      <c r="E667" t="s">
        <v>33</v>
      </c>
      <c r="F667" s="2" t="s">
        <v>40</v>
      </c>
      <c r="G667" t="str">
        <f t="shared" si="72"/>
        <v>Musk 12-USA</v>
      </c>
      <c r="H667">
        <f t="shared" si="73"/>
        <v>880</v>
      </c>
      <c r="I667">
        <f>VLOOKUP(G667,Table4[[SKU-COUNTRY2]:[Price in USD]],2,FALSE)</f>
        <v>105</v>
      </c>
      <c r="J667">
        <f>VLOOKUP(G667,Sheet3!$C$82:$I$100,MATCH(E667,Sheet3!C$82:H$82,0),FALSE) * VLOOKUP(C667,Table8[],2,0)</f>
        <v>92400.000000000015</v>
      </c>
      <c r="K667">
        <f>ROUND(J667*VLOOKUP(F667,Sheet3!$A$106:$C$111,2,FALSE),0)</f>
        <v>27720</v>
      </c>
      <c r="L667">
        <f t="shared" si="70"/>
        <v>64680.000000000015</v>
      </c>
      <c r="M667">
        <f t="shared" si="71"/>
        <v>70</v>
      </c>
      <c r="N667" t="str">
        <f t="shared" si="74"/>
        <v>No</v>
      </c>
      <c r="O667">
        <f t="shared" si="75"/>
        <v>0</v>
      </c>
      <c r="P667" t="str">
        <f t="shared" si="76"/>
        <v>None</v>
      </c>
      <c r="Q667" t="s">
        <v>124</v>
      </c>
    </row>
    <row r="668" spans="1:17" x14ac:dyDescent="0.3">
      <c r="A668">
        <v>667</v>
      </c>
      <c r="B668" t="s">
        <v>24</v>
      </c>
      <c r="C668" s="1">
        <v>45931</v>
      </c>
      <c r="D668" t="s">
        <v>28</v>
      </c>
      <c r="E668" t="s">
        <v>34</v>
      </c>
      <c r="F668" s="2" t="s">
        <v>35</v>
      </c>
      <c r="G668" t="str">
        <f t="shared" si="72"/>
        <v>Vanilla 28-USA</v>
      </c>
      <c r="H668">
        <f t="shared" si="73"/>
        <v>4107</v>
      </c>
      <c r="I668">
        <f>VLOOKUP(G668,Table4[[SKU-COUNTRY2]:[Price in USD]],2,FALSE)</f>
        <v>105</v>
      </c>
      <c r="J668">
        <f>VLOOKUP(G668,Sheet3!$C$82:$I$100,MATCH(E668,Sheet3!C$82:H$82,0),FALSE) * VLOOKUP(C668,Table8[],2,0)</f>
        <v>431200.00000000006</v>
      </c>
      <c r="K668">
        <f>ROUND(J668*VLOOKUP(F668,Sheet3!$A$106:$C$111,2,FALSE),0)</f>
        <v>129360</v>
      </c>
      <c r="L668">
        <f t="shared" si="70"/>
        <v>301840.00000000006</v>
      </c>
      <c r="M668">
        <f t="shared" si="71"/>
        <v>70</v>
      </c>
      <c r="N668" t="str">
        <f t="shared" si="74"/>
        <v>No</v>
      </c>
      <c r="O668">
        <f t="shared" si="75"/>
        <v>0</v>
      </c>
      <c r="P668" t="str">
        <f t="shared" si="76"/>
        <v>None</v>
      </c>
      <c r="Q668" t="s">
        <v>124</v>
      </c>
    </row>
    <row r="669" spans="1:17" x14ac:dyDescent="0.3">
      <c r="A669">
        <v>668</v>
      </c>
      <c r="B669" t="s">
        <v>24</v>
      </c>
      <c r="C669" s="1">
        <v>45931</v>
      </c>
      <c r="D669" t="s">
        <v>28</v>
      </c>
      <c r="E669" t="s">
        <v>34</v>
      </c>
      <c r="F669" s="2" t="s">
        <v>36</v>
      </c>
      <c r="G669" t="str">
        <f t="shared" si="72"/>
        <v>Eden Juicy Apple 01-USA</v>
      </c>
      <c r="H669">
        <f t="shared" si="73"/>
        <v>2347</v>
      </c>
      <c r="I669">
        <f>VLOOKUP(G669,Table4[[SKU-COUNTRY2]:[Price in USD]],2,FALSE)</f>
        <v>105</v>
      </c>
      <c r="J669">
        <f>VLOOKUP(G669,Sheet3!$C$82:$I$100,MATCH(E669,Sheet3!C$82:H$82,0),FALSE) * VLOOKUP(C669,Table8[],2,0)</f>
        <v>246400.00000000003</v>
      </c>
      <c r="K669">
        <f>ROUND(J669*VLOOKUP(F669,Sheet3!$A$106:$C$111,2,FALSE),0)</f>
        <v>76384</v>
      </c>
      <c r="L669">
        <f t="shared" si="70"/>
        <v>170016.00000000003</v>
      </c>
      <c r="M669">
        <f t="shared" si="71"/>
        <v>69</v>
      </c>
      <c r="N669" t="str">
        <f t="shared" si="74"/>
        <v>No</v>
      </c>
      <c r="O669">
        <f t="shared" si="75"/>
        <v>0</v>
      </c>
      <c r="P669" t="str">
        <f t="shared" si="76"/>
        <v>None</v>
      </c>
      <c r="Q669" t="s">
        <v>124</v>
      </c>
    </row>
    <row r="670" spans="1:17" x14ac:dyDescent="0.3">
      <c r="A670">
        <v>669</v>
      </c>
      <c r="B670" t="s">
        <v>24</v>
      </c>
      <c r="C670" s="1">
        <v>45931</v>
      </c>
      <c r="D670" t="s">
        <v>28</v>
      </c>
      <c r="E670" t="s">
        <v>34</v>
      </c>
      <c r="F670" s="2" t="s">
        <v>37</v>
      </c>
      <c r="G670" t="str">
        <f t="shared" si="72"/>
        <v>Oudgasm Tobacco Oud 04-USA</v>
      </c>
      <c r="H670">
        <f t="shared" si="73"/>
        <v>1584</v>
      </c>
      <c r="I670">
        <f>VLOOKUP(G670,Table4[[SKU-COUNTRY2]:[Price in USD]],2,FALSE)</f>
        <v>140</v>
      </c>
      <c r="J670">
        <f>VLOOKUP(G670,Sheet3!$C$82:$I$100,MATCH(E670,Sheet3!C$82:H$82,0),FALSE) * VLOOKUP(C670,Table8[],2,0)</f>
        <v>221760.00000000003</v>
      </c>
      <c r="K670">
        <f>ROUND(J670*VLOOKUP(F670,Sheet3!$A$106:$C$111,2,FALSE),0)</f>
        <v>77616</v>
      </c>
      <c r="L670">
        <f t="shared" si="70"/>
        <v>144144.00000000003</v>
      </c>
      <c r="M670">
        <f t="shared" si="71"/>
        <v>65</v>
      </c>
      <c r="N670" t="str">
        <f t="shared" si="74"/>
        <v>No</v>
      </c>
      <c r="O670">
        <f t="shared" si="75"/>
        <v>0</v>
      </c>
      <c r="P670" t="str">
        <f t="shared" si="76"/>
        <v>None</v>
      </c>
      <c r="Q670" t="s">
        <v>124</v>
      </c>
    </row>
    <row r="671" spans="1:17" x14ac:dyDescent="0.3">
      <c r="A671">
        <v>670</v>
      </c>
      <c r="B671" t="s">
        <v>24</v>
      </c>
      <c r="C671" s="1">
        <v>45931</v>
      </c>
      <c r="D671" t="s">
        <v>28</v>
      </c>
      <c r="E671" t="s">
        <v>34</v>
      </c>
      <c r="F671" s="2" t="s">
        <v>38</v>
      </c>
      <c r="G671" t="str">
        <f t="shared" si="72"/>
        <v>Yum Pistachio Gelato 33-USA</v>
      </c>
      <c r="H671">
        <f t="shared" si="73"/>
        <v>1408</v>
      </c>
      <c r="I671">
        <f>VLOOKUP(G671,Table4[[SKU-COUNTRY2]:[Price in USD]],2,FALSE)</f>
        <v>105</v>
      </c>
      <c r="J671">
        <f>VLOOKUP(G671,Sheet3!$C$82:$I$100,MATCH(E671,Sheet3!C$82:H$82,0),FALSE) * VLOOKUP(C671,Table8[],2,0)</f>
        <v>147840</v>
      </c>
      <c r="K671">
        <f>ROUND(J671*VLOOKUP(F671,Sheet3!$A$106:$C$111,2,FALSE),0)</f>
        <v>45830</v>
      </c>
      <c r="L671">
        <f t="shared" si="70"/>
        <v>102010</v>
      </c>
      <c r="M671">
        <f t="shared" si="71"/>
        <v>69</v>
      </c>
      <c r="N671" t="str">
        <f t="shared" si="74"/>
        <v>No</v>
      </c>
      <c r="O671">
        <f t="shared" si="75"/>
        <v>0</v>
      </c>
      <c r="P671" t="str">
        <f t="shared" si="76"/>
        <v>None</v>
      </c>
      <c r="Q671" t="s">
        <v>124</v>
      </c>
    </row>
    <row r="672" spans="1:17" x14ac:dyDescent="0.3">
      <c r="A672">
        <v>671</v>
      </c>
      <c r="B672" t="s">
        <v>24</v>
      </c>
      <c r="C672" s="1">
        <v>45931</v>
      </c>
      <c r="D672" t="s">
        <v>28</v>
      </c>
      <c r="E672" t="s">
        <v>34</v>
      </c>
      <c r="F672" s="2" t="s">
        <v>39</v>
      </c>
      <c r="G672" t="str">
        <f t="shared" si="72"/>
        <v>Freedom Musk Santal 34-USA</v>
      </c>
      <c r="H672">
        <f t="shared" si="73"/>
        <v>1173</v>
      </c>
      <c r="I672">
        <f>VLOOKUP(G672,Table4[[SKU-COUNTRY2]:[Price in USD]],2,FALSE)</f>
        <v>105</v>
      </c>
      <c r="J672">
        <f>VLOOKUP(G672,Sheet3!$C$82:$I$100,MATCH(E672,Sheet3!C$82:H$82,0),FALSE) * VLOOKUP(C672,Table8[],2,0)</f>
        <v>123200.00000000001</v>
      </c>
      <c r="K672">
        <f>ROUND(J672*VLOOKUP(F672,Sheet3!$A$106:$C$111,2,FALSE),0)</f>
        <v>39424</v>
      </c>
      <c r="L672">
        <f t="shared" si="70"/>
        <v>83776.000000000015</v>
      </c>
      <c r="M672">
        <f t="shared" si="71"/>
        <v>68</v>
      </c>
      <c r="N672" t="str">
        <f t="shared" si="74"/>
        <v>No</v>
      </c>
      <c r="O672">
        <f t="shared" si="75"/>
        <v>0</v>
      </c>
      <c r="P672" t="str">
        <f t="shared" si="76"/>
        <v>None</v>
      </c>
      <c r="Q672" t="s">
        <v>124</v>
      </c>
    </row>
    <row r="673" spans="1:17" x14ac:dyDescent="0.3">
      <c r="A673">
        <v>672</v>
      </c>
      <c r="B673" t="s">
        <v>24</v>
      </c>
      <c r="C673" s="1">
        <v>45931</v>
      </c>
      <c r="D673" t="s">
        <v>28</v>
      </c>
      <c r="E673" t="s">
        <v>34</v>
      </c>
      <c r="F673" s="2" t="s">
        <v>40</v>
      </c>
      <c r="G673" t="str">
        <f t="shared" si="72"/>
        <v>Musk 12-USA</v>
      </c>
      <c r="H673">
        <f t="shared" si="73"/>
        <v>587</v>
      </c>
      <c r="I673">
        <f>VLOOKUP(G673,Table4[[SKU-COUNTRY2]:[Price in USD]],2,FALSE)</f>
        <v>105</v>
      </c>
      <c r="J673">
        <f>VLOOKUP(G673,Sheet3!$C$82:$I$100,MATCH(E673,Sheet3!C$82:H$82,0),FALSE) * VLOOKUP(C673,Table8[],2,0)</f>
        <v>61600.000000000007</v>
      </c>
      <c r="K673">
        <f>ROUND(J673*VLOOKUP(F673,Sheet3!$A$106:$C$111,2,FALSE),0)</f>
        <v>18480</v>
      </c>
      <c r="L673">
        <f t="shared" si="70"/>
        <v>43120.000000000007</v>
      </c>
      <c r="M673">
        <f t="shared" si="71"/>
        <v>70</v>
      </c>
      <c r="N673" t="str">
        <f t="shared" si="74"/>
        <v>No</v>
      </c>
      <c r="O673">
        <f t="shared" si="75"/>
        <v>0</v>
      </c>
      <c r="P673" t="str">
        <f t="shared" si="76"/>
        <v>None</v>
      </c>
      <c r="Q673" t="s">
        <v>124</v>
      </c>
    </row>
    <row r="674" spans="1:17" x14ac:dyDescent="0.3">
      <c r="A674">
        <v>673</v>
      </c>
      <c r="B674" t="s">
        <v>24</v>
      </c>
      <c r="C674" s="1">
        <v>45931</v>
      </c>
      <c r="D674" t="s">
        <v>27</v>
      </c>
      <c r="E674" t="s">
        <v>32</v>
      </c>
      <c r="F674" s="2" t="s">
        <v>35</v>
      </c>
      <c r="G674" t="str">
        <f t="shared" si="72"/>
        <v>Vanilla 28-UK</v>
      </c>
      <c r="H674">
        <f t="shared" si="73"/>
        <v>2598</v>
      </c>
      <c r="I674">
        <f>VLOOKUP(G674,Table4[[SKU-COUNTRY2]:[Price in USD]],2,FALSE)</f>
        <v>101.6</v>
      </c>
      <c r="J674">
        <f>VLOOKUP(G674,Sheet3!$C$82:$I$100,MATCH(E674,Sheet3!C$82:H$82,0),FALSE) * VLOOKUP(C674,Table8[],2,0)</f>
        <v>264000</v>
      </c>
      <c r="K674">
        <f>ROUND(J674*VLOOKUP(F674,Sheet3!$A$106:$C$111,2,FALSE),0)</f>
        <v>79200</v>
      </c>
      <c r="L674">
        <f t="shared" si="70"/>
        <v>184800</v>
      </c>
      <c r="M674">
        <f t="shared" si="71"/>
        <v>70</v>
      </c>
      <c r="N674" t="str">
        <f t="shared" si="74"/>
        <v>No</v>
      </c>
      <c r="O674">
        <f t="shared" si="75"/>
        <v>0</v>
      </c>
      <c r="P674" t="str">
        <f t="shared" si="76"/>
        <v>None</v>
      </c>
      <c r="Q674" t="s">
        <v>124</v>
      </c>
    </row>
    <row r="675" spans="1:17" x14ac:dyDescent="0.3">
      <c r="A675">
        <v>674</v>
      </c>
      <c r="B675" t="s">
        <v>24</v>
      </c>
      <c r="C675" s="1">
        <v>45931</v>
      </c>
      <c r="D675" t="s">
        <v>27</v>
      </c>
      <c r="E675" t="s">
        <v>32</v>
      </c>
      <c r="F675" s="2" t="s">
        <v>36</v>
      </c>
      <c r="G675" t="str">
        <f t="shared" si="72"/>
        <v>Eden Juicy Apple 01-UK</v>
      </c>
      <c r="H675">
        <f t="shared" si="73"/>
        <v>1906</v>
      </c>
      <c r="I675">
        <f>VLOOKUP(G675,Table4[[SKU-COUNTRY2]:[Price in USD]],2,FALSE)</f>
        <v>101.6</v>
      </c>
      <c r="J675">
        <f>VLOOKUP(G675,Sheet3!$C$82:$I$100,MATCH(E675,Sheet3!C$82:H$82,0),FALSE) * VLOOKUP(C675,Table8[],2,0)</f>
        <v>193600.00000000003</v>
      </c>
      <c r="K675">
        <f>ROUND(J675*VLOOKUP(F675,Sheet3!$A$106:$C$111,2,FALSE),0)</f>
        <v>60016</v>
      </c>
      <c r="L675">
        <f t="shared" si="70"/>
        <v>133584.00000000003</v>
      </c>
      <c r="M675">
        <f t="shared" si="71"/>
        <v>69</v>
      </c>
      <c r="N675" t="str">
        <f t="shared" si="74"/>
        <v>No</v>
      </c>
      <c r="O675">
        <f t="shared" si="75"/>
        <v>0</v>
      </c>
      <c r="P675" t="str">
        <f t="shared" si="76"/>
        <v>None</v>
      </c>
      <c r="Q675" t="s">
        <v>124</v>
      </c>
    </row>
    <row r="676" spans="1:17" x14ac:dyDescent="0.3">
      <c r="A676">
        <v>675</v>
      </c>
      <c r="B676" t="s">
        <v>24</v>
      </c>
      <c r="C676" s="1">
        <v>45931</v>
      </c>
      <c r="D676" t="s">
        <v>27</v>
      </c>
      <c r="E676" t="s">
        <v>32</v>
      </c>
      <c r="F676" s="2" t="s">
        <v>37</v>
      </c>
      <c r="G676" t="str">
        <f t="shared" si="72"/>
        <v>Oudgasm Tobacco Oud 04-UK</v>
      </c>
      <c r="H676">
        <f t="shared" si="73"/>
        <v>1048</v>
      </c>
      <c r="I676">
        <f>VLOOKUP(G676,Table4[[SKU-COUNTRY2]:[Price in USD]],2,FALSE)</f>
        <v>151.13</v>
      </c>
      <c r="J676">
        <f>VLOOKUP(G676,Sheet3!$C$82:$I$100,MATCH(E676,Sheet3!C$82:H$82,0),FALSE) * VLOOKUP(C676,Table8[],2,0)</f>
        <v>158400</v>
      </c>
      <c r="K676">
        <f>ROUND(J676*VLOOKUP(F676,Sheet3!$A$106:$C$111,2,FALSE),0)</f>
        <v>55440</v>
      </c>
      <c r="L676">
        <f t="shared" si="70"/>
        <v>102960</v>
      </c>
      <c r="M676">
        <f t="shared" si="71"/>
        <v>65</v>
      </c>
      <c r="N676" t="str">
        <f t="shared" si="74"/>
        <v>No</v>
      </c>
      <c r="O676">
        <f t="shared" si="75"/>
        <v>0</v>
      </c>
      <c r="P676" t="str">
        <f t="shared" si="76"/>
        <v>None</v>
      </c>
      <c r="Q676" t="s">
        <v>124</v>
      </c>
    </row>
    <row r="677" spans="1:17" x14ac:dyDescent="0.3">
      <c r="A677">
        <v>676</v>
      </c>
      <c r="B677" t="s">
        <v>24</v>
      </c>
      <c r="C677" s="1">
        <v>45931</v>
      </c>
      <c r="D677" t="s">
        <v>27</v>
      </c>
      <c r="E677" t="s">
        <v>32</v>
      </c>
      <c r="F677" s="2" t="s">
        <v>38</v>
      </c>
      <c r="G677" t="str">
        <f t="shared" si="72"/>
        <v>Yum Pistachio Gelato 33-UK</v>
      </c>
      <c r="H677">
        <f t="shared" si="73"/>
        <v>1126</v>
      </c>
      <c r="I677">
        <f>VLOOKUP(G677,Table4[[SKU-COUNTRY2]:[Price in USD]],2,FALSE)</f>
        <v>101.6</v>
      </c>
      <c r="J677">
        <f>VLOOKUP(G677,Sheet3!$C$82:$I$100,MATCH(E677,Sheet3!C$82:H$82,0),FALSE) * VLOOKUP(C677,Table8[],2,0)</f>
        <v>114400.00000000001</v>
      </c>
      <c r="K677">
        <f>ROUND(J677*VLOOKUP(F677,Sheet3!$A$106:$C$111,2,FALSE),0)</f>
        <v>35464</v>
      </c>
      <c r="L677">
        <f t="shared" si="70"/>
        <v>78936.000000000015</v>
      </c>
      <c r="M677">
        <f t="shared" si="71"/>
        <v>69</v>
      </c>
      <c r="N677" t="str">
        <f t="shared" si="74"/>
        <v>No</v>
      </c>
      <c r="O677">
        <f t="shared" si="75"/>
        <v>0</v>
      </c>
      <c r="P677" t="str">
        <f t="shared" si="76"/>
        <v>None</v>
      </c>
      <c r="Q677" t="s">
        <v>124</v>
      </c>
    </row>
    <row r="678" spans="1:17" x14ac:dyDescent="0.3">
      <c r="A678">
        <v>677</v>
      </c>
      <c r="B678" t="s">
        <v>24</v>
      </c>
      <c r="C678" s="1">
        <v>45931</v>
      </c>
      <c r="D678" t="s">
        <v>27</v>
      </c>
      <c r="E678" t="s">
        <v>32</v>
      </c>
      <c r="F678" s="2" t="s">
        <v>39</v>
      </c>
      <c r="G678" t="str">
        <f t="shared" si="72"/>
        <v>Freedom Musk Santal 34-UK</v>
      </c>
      <c r="H678">
        <f t="shared" si="73"/>
        <v>866</v>
      </c>
      <c r="I678">
        <f>VLOOKUP(G678,Table4[[SKU-COUNTRY2]:[Price in USD]],2,FALSE)</f>
        <v>101.6</v>
      </c>
      <c r="J678">
        <f>VLOOKUP(G678,Sheet3!$C$82:$I$100,MATCH(E678,Sheet3!C$82:H$82,0),FALSE) * VLOOKUP(C678,Table8[],2,0)</f>
        <v>88000</v>
      </c>
      <c r="K678">
        <f>ROUND(J678*VLOOKUP(F678,Sheet3!$A$106:$C$111,2,FALSE),0)</f>
        <v>28160</v>
      </c>
      <c r="L678">
        <f t="shared" si="70"/>
        <v>59840</v>
      </c>
      <c r="M678">
        <f t="shared" si="71"/>
        <v>68</v>
      </c>
      <c r="N678" t="str">
        <f t="shared" si="74"/>
        <v>No</v>
      </c>
      <c r="O678">
        <f t="shared" si="75"/>
        <v>0</v>
      </c>
      <c r="P678" t="str">
        <f t="shared" si="76"/>
        <v>None</v>
      </c>
      <c r="Q678" t="s">
        <v>124</v>
      </c>
    </row>
    <row r="679" spans="1:17" x14ac:dyDescent="0.3">
      <c r="A679">
        <v>678</v>
      </c>
      <c r="B679" t="s">
        <v>24</v>
      </c>
      <c r="C679" s="1">
        <v>45931</v>
      </c>
      <c r="D679" t="s">
        <v>27</v>
      </c>
      <c r="E679" t="s">
        <v>32</v>
      </c>
      <c r="F679" s="2" t="s">
        <v>40</v>
      </c>
      <c r="G679" t="str">
        <f t="shared" si="72"/>
        <v>Musk 12-UK</v>
      </c>
      <c r="H679">
        <f t="shared" si="73"/>
        <v>606</v>
      </c>
      <c r="I679">
        <f>VLOOKUP(G679,Table4[[SKU-COUNTRY2]:[Price in USD]],2,FALSE)</f>
        <v>101.6</v>
      </c>
      <c r="J679">
        <f>VLOOKUP(G679,Sheet3!$C$82:$I$100,MATCH(E679,Sheet3!C$82:H$82,0),FALSE) * VLOOKUP(C679,Table8[],2,0)</f>
        <v>61600.000000000015</v>
      </c>
      <c r="K679">
        <f>ROUND(J679*VLOOKUP(F679,Sheet3!$A$106:$C$111,2,FALSE),0)</f>
        <v>18480</v>
      </c>
      <c r="L679">
        <f t="shared" si="70"/>
        <v>43120.000000000015</v>
      </c>
      <c r="M679">
        <f t="shared" si="71"/>
        <v>70</v>
      </c>
      <c r="N679" t="str">
        <f t="shared" si="74"/>
        <v>No</v>
      </c>
      <c r="O679">
        <f t="shared" si="75"/>
        <v>0</v>
      </c>
      <c r="P679" t="str">
        <f t="shared" si="76"/>
        <v>None</v>
      </c>
      <c r="Q679" t="s">
        <v>124</v>
      </c>
    </row>
    <row r="680" spans="1:17" x14ac:dyDescent="0.3">
      <c r="A680">
        <v>679</v>
      </c>
      <c r="B680" t="s">
        <v>24</v>
      </c>
      <c r="C680" s="1">
        <v>45931</v>
      </c>
      <c r="D680" t="s">
        <v>27</v>
      </c>
      <c r="E680" t="s">
        <v>31</v>
      </c>
      <c r="F680" s="2" t="s">
        <v>35</v>
      </c>
      <c r="G680" t="str">
        <f t="shared" si="72"/>
        <v>Vanilla 28-UK</v>
      </c>
      <c r="H680">
        <f t="shared" si="73"/>
        <v>1299</v>
      </c>
      <c r="I680">
        <f>VLOOKUP(G680,Table4[[SKU-COUNTRY2]:[Price in USD]],2,FALSE)</f>
        <v>101.6</v>
      </c>
      <c r="J680">
        <f>VLOOKUP(G680,Sheet3!$C$82:$I$100,MATCH(E680,Sheet3!C$82:H$82,0),FALSE) * VLOOKUP(C680,Table8[],2,0)</f>
        <v>132000</v>
      </c>
      <c r="K680">
        <f>ROUND(J680*VLOOKUP(F680,Sheet3!$A$106:$C$111,2,FALSE),0)</f>
        <v>39600</v>
      </c>
      <c r="L680">
        <f t="shared" si="70"/>
        <v>92400</v>
      </c>
      <c r="M680">
        <f t="shared" si="71"/>
        <v>70</v>
      </c>
      <c r="N680" t="str">
        <f t="shared" si="74"/>
        <v>No</v>
      </c>
      <c r="O680">
        <f t="shared" si="75"/>
        <v>0</v>
      </c>
      <c r="P680" t="str">
        <f t="shared" si="76"/>
        <v>None</v>
      </c>
      <c r="Q680" t="s">
        <v>124</v>
      </c>
    </row>
    <row r="681" spans="1:17" x14ac:dyDescent="0.3">
      <c r="A681">
        <v>680</v>
      </c>
      <c r="B681" t="s">
        <v>24</v>
      </c>
      <c r="C681" s="1">
        <v>45931</v>
      </c>
      <c r="D681" t="s">
        <v>27</v>
      </c>
      <c r="E681" t="s">
        <v>31</v>
      </c>
      <c r="F681" s="2" t="s">
        <v>36</v>
      </c>
      <c r="G681" t="str">
        <f t="shared" si="72"/>
        <v>Eden Juicy Apple 01-UK</v>
      </c>
      <c r="H681">
        <f t="shared" si="73"/>
        <v>953</v>
      </c>
      <c r="I681">
        <f>VLOOKUP(G681,Table4[[SKU-COUNTRY2]:[Price in USD]],2,FALSE)</f>
        <v>101.6</v>
      </c>
      <c r="J681">
        <f>VLOOKUP(G681,Sheet3!$C$82:$I$100,MATCH(E681,Sheet3!C$82:H$82,0),FALSE) * VLOOKUP(C681,Table8[],2,0)</f>
        <v>96800.000000000015</v>
      </c>
      <c r="K681">
        <f>ROUND(J681*VLOOKUP(F681,Sheet3!$A$106:$C$111,2,FALSE),0)</f>
        <v>30008</v>
      </c>
      <c r="L681">
        <f t="shared" si="70"/>
        <v>66792.000000000015</v>
      </c>
      <c r="M681">
        <f t="shared" si="71"/>
        <v>69</v>
      </c>
      <c r="N681" t="str">
        <f t="shared" si="74"/>
        <v>No</v>
      </c>
      <c r="O681">
        <f t="shared" si="75"/>
        <v>0</v>
      </c>
      <c r="P681" t="str">
        <f t="shared" si="76"/>
        <v>None</v>
      </c>
      <c r="Q681" t="s">
        <v>124</v>
      </c>
    </row>
    <row r="682" spans="1:17" x14ac:dyDescent="0.3">
      <c r="A682">
        <v>681</v>
      </c>
      <c r="B682" t="s">
        <v>24</v>
      </c>
      <c r="C682" s="1">
        <v>45931</v>
      </c>
      <c r="D682" t="s">
        <v>27</v>
      </c>
      <c r="E682" t="s">
        <v>31</v>
      </c>
      <c r="F682" s="2" t="s">
        <v>37</v>
      </c>
      <c r="G682" t="str">
        <f t="shared" si="72"/>
        <v>Oudgasm Tobacco Oud 04-UK</v>
      </c>
      <c r="H682">
        <f t="shared" si="73"/>
        <v>524</v>
      </c>
      <c r="I682">
        <f>VLOOKUP(G682,Table4[[SKU-COUNTRY2]:[Price in USD]],2,FALSE)</f>
        <v>151.13</v>
      </c>
      <c r="J682">
        <f>VLOOKUP(G682,Sheet3!$C$82:$I$100,MATCH(E682,Sheet3!C$82:H$82,0),FALSE) * VLOOKUP(C682,Table8[],2,0)</f>
        <v>79200</v>
      </c>
      <c r="K682">
        <f>ROUND(J682*VLOOKUP(F682,Sheet3!$A$106:$C$111,2,FALSE),0)</f>
        <v>27720</v>
      </c>
      <c r="L682">
        <f t="shared" si="70"/>
        <v>51480</v>
      </c>
      <c r="M682">
        <f t="shared" si="71"/>
        <v>65</v>
      </c>
      <c r="N682" t="str">
        <f t="shared" si="74"/>
        <v>No</v>
      </c>
      <c r="O682">
        <f t="shared" si="75"/>
        <v>0</v>
      </c>
      <c r="P682" t="str">
        <f t="shared" si="76"/>
        <v>None</v>
      </c>
      <c r="Q682" t="s">
        <v>124</v>
      </c>
    </row>
    <row r="683" spans="1:17" x14ac:dyDescent="0.3">
      <c r="A683">
        <v>682</v>
      </c>
      <c r="B683" t="s">
        <v>24</v>
      </c>
      <c r="C683" s="1">
        <v>45931</v>
      </c>
      <c r="D683" t="s">
        <v>27</v>
      </c>
      <c r="E683" t="s">
        <v>31</v>
      </c>
      <c r="F683" s="2" t="s">
        <v>38</v>
      </c>
      <c r="G683" t="str">
        <f t="shared" si="72"/>
        <v>Yum Pistachio Gelato 33-UK</v>
      </c>
      <c r="H683">
        <f t="shared" si="73"/>
        <v>563</v>
      </c>
      <c r="I683">
        <f>VLOOKUP(G683,Table4[[SKU-COUNTRY2]:[Price in USD]],2,FALSE)</f>
        <v>101.6</v>
      </c>
      <c r="J683">
        <f>VLOOKUP(G683,Sheet3!$C$82:$I$100,MATCH(E683,Sheet3!C$82:H$82,0),FALSE) * VLOOKUP(C683,Table8[],2,0)</f>
        <v>57200.000000000007</v>
      </c>
      <c r="K683">
        <f>ROUND(J683*VLOOKUP(F683,Sheet3!$A$106:$C$111,2,FALSE),0)</f>
        <v>17732</v>
      </c>
      <c r="L683">
        <f t="shared" si="70"/>
        <v>39468.000000000007</v>
      </c>
      <c r="M683">
        <f t="shared" si="71"/>
        <v>69</v>
      </c>
      <c r="N683" t="str">
        <f t="shared" si="74"/>
        <v>No</v>
      </c>
      <c r="O683">
        <f t="shared" si="75"/>
        <v>0</v>
      </c>
      <c r="P683" t="str">
        <f t="shared" si="76"/>
        <v>None</v>
      </c>
      <c r="Q683" t="s">
        <v>124</v>
      </c>
    </row>
    <row r="684" spans="1:17" x14ac:dyDescent="0.3">
      <c r="A684">
        <v>683</v>
      </c>
      <c r="B684" t="s">
        <v>24</v>
      </c>
      <c r="C684" s="1">
        <v>45931</v>
      </c>
      <c r="D684" t="s">
        <v>27</v>
      </c>
      <c r="E684" t="s">
        <v>31</v>
      </c>
      <c r="F684" s="2" t="s">
        <v>39</v>
      </c>
      <c r="G684" t="str">
        <f t="shared" si="72"/>
        <v>Freedom Musk Santal 34-UK</v>
      </c>
      <c r="H684">
        <f t="shared" si="73"/>
        <v>433</v>
      </c>
      <c r="I684">
        <f>VLOOKUP(G684,Table4[[SKU-COUNTRY2]:[Price in USD]],2,FALSE)</f>
        <v>101.6</v>
      </c>
      <c r="J684">
        <f>VLOOKUP(G684,Sheet3!$C$82:$I$100,MATCH(E684,Sheet3!C$82:H$82,0),FALSE) * VLOOKUP(C684,Table8[],2,0)</f>
        <v>44000</v>
      </c>
      <c r="K684">
        <f>ROUND(J684*VLOOKUP(F684,Sheet3!$A$106:$C$111,2,FALSE),0)</f>
        <v>14080</v>
      </c>
      <c r="L684">
        <f t="shared" si="70"/>
        <v>29920</v>
      </c>
      <c r="M684">
        <f t="shared" si="71"/>
        <v>68</v>
      </c>
      <c r="N684" t="str">
        <f t="shared" si="74"/>
        <v>No</v>
      </c>
      <c r="O684">
        <f t="shared" si="75"/>
        <v>0</v>
      </c>
      <c r="P684" t="str">
        <f t="shared" si="76"/>
        <v>None</v>
      </c>
      <c r="Q684" t="s">
        <v>124</v>
      </c>
    </row>
    <row r="685" spans="1:17" x14ac:dyDescent="0.3">
      <c r="A685">
        <v>684</v>
      </c>
      <c r="B685" t="s">
        <v>24</v>
      </c>
      <c r="C685" s="1">
        <v>45931</v>
      </c>
      <c r="D685" t="s">
        <v>27</v>
      </c>
      <c r="E685" t="s">
        <v>31</v>
      </c>
      <c r="F685" s="2" t="s">
        <v>40</v>
      </c>
      <c r="G685" t="str">
        <f t="shared" si="72"/>
        <v>Musk 12-UK</v>
      </c>
      <c r="H685">
        <f t="shared" si="73"/>
        <v>303</v>
      </c>
      <c r="I685">
        <f>VLOOKUP(G685,Table4[[SKU-COUNTRY2]:[Price in USD]],2,FALSE)</f>
        <v>101.6</v>
      </c>
      <c r="J685">
        <f>VLOOKUP(G685,Sheet3!$C$82:$I$100,MATCH(E685,Sheet3!C$82:H$82,0),FALSE) * VLOOKUP(C685,Table8[],2,0)</f>
        <v>30800.000000000007</v>
      </c>
      <c r="K685">
        <f>ROUND(J685*VLOOKUP(F685,Sheet3!$A$106:$C$111,2,FALSE),0)</f>
        <v>9240</v>
      </c>
      <c r="L685">
        <f t="shared" si="70"/>
        <v>21560.000000000007</v>
      </c>
      <c r="M685">
        <f t="shared" si="71"/>
        <v>70</v>
      </c>
      <c r="N685" t="str">
        <f t="shared" si="74"/>
        <v>No</v>
      </c>
      <c r="O685">
        <f t="shared" si="75"/>
        <v>0</v>
      </c>
      <c r="P685" t="str">
        <f t="shared" si="76"/>
        <v>None</v>
      </c>
      <c r="Q685" t="s">
        <v>124</v>
      </c>
    </row>
    <row r="686" spans="1:17" x14ac:dyDescent="0.3">
      <c r="A686">
        <v>685</v>
      </c>
      <c r="B686" t="s">
        <v>24</v>
      </c>
      <c r="C686" s="1">
        <v>45931</v>
      </c>
      <c r="D686" t="s">
        <v>27</v>
      </c>
      <c r="E686" t="s">
        <v>33</v>
      </c>
      <c r="F686" s="2" t="s">
        <v>35</v>
      </c>
      <c r="G686" t="str">
        <f t="shared" si="72"/>
        <v>Vanilla 28-UK</v>
      </c>
      <c r="H686">
        <f t="shared" si="73"/>
        <v>974</v>
      </c>
      <c r="I686">
        <f>VLOOKUP(G686,Table4[[SKU-COUNTRY2]:[Price in USD]],2,FALSE)</f>
        <v>101.6</v>
      </c>
      <c r="J686">
        <f>VLOOKUP(G686,Sheet3!$C$82:$I$100,MATCH(E686,Sheet3!C$82:H$82,0),FALSE) * VLOOKUP(C686,Table8[],2,0)</f>
        <v>99000.000000000015</v>
      </c>
      <c r="K686">
        <f>ROUND(J686*VLOOKUP(F686,Sheet3!$A$106:$C$111,2,FALSE),0)</f>
        <v>29700</v>
      </c>
      <c r="L686">
        <f t="shared" si="70"/>
        <v>69300.000000000015</v>
      </c>
      <c r="M686">
        <f t="shared" si="71"/>
        <v>70</v>
      </c>
      <c r="N686" t="str">
        <f t="shared" si="74"/>
        <v>No</v>
      </c>
      <c r="O686">
        <f t="shared" si="75"/>
        <v>0</v>
      </c>
      <c r="P686" t="str">
        <f t="shared" si="76"/>
        <v>None</v>
      </c>
      <c r="Q686" t="s">
        <v>124</v>
      </c>
    </row>
    <row r="687" spans="1:17" x14ac:dyDescent="0.3">
      <c r="A687">
        <v>686</v>
      </c>
      <c r="B687" t="s">
        <v>24</v>
      </c>
      <c r="C687" s="1">
        <v>45931</v>
      </c>
      <c r="D687" t="s">
        <v>27</v>
      </c>
      <c r="E687" t="s">
        <v>33</v>
      </c>
      <c r="F687" s="2" t="s">
        <v>36</v>
      </c>
      <c r="G687" t="str">
        <f t="shared" si="72"/>
        <v>Eden Juicy Apple 01-UK</v>
      </c>
      <c r="H687">
        <f t="shared" si="73"/>
        <v>715</v>
      </c>
      <c r="I687">
        <f>VLOOKUP(G687,Table4[[SKU-COUNTRY2]:[Price in USD]],2,FALSE)</f>
        <v>101.6</v>
      </c>
      <c r="J687">
        <f>VLOOKUP(G687,Sheet3!$C$82:$I$100,MATCH(E687,Sheet3!C$82:H$82,0),FALSE) * VLOOKUP(C687,Table8[],2,0)</f>
        <v>72600</v>
      </c>
      <c r="K687">
        <f>ROUND(J687*VLOOKUP(F687,Sheet3!$A$106:$C$111,2,FALSE),0)</f>
        <v>22506</v>
      </c>
      <c r="L687">
        <f t="shared" si="70"/>
        <v>50094</v>
      </c>
      <c r="M687">
        <f t="shared" si="71"/>
        <v>69</v>
      </c>
      <c r="N687" t="str">
        <f t="shared" si="74"/>
        <v>No</v>
      </c>
      <c r="O687">
        <f t="shared" si="75"/>
        <v>0</v>
      </c>
      <c r="P687" t="str">
        <f t="shared" si="76"/>
        <v>None</v>
      </c>
      <c r="Q687" t="s">
        <v>124</v>
      </c>
    </row>
    <row r="688" spans="1:17" x14ac:dyDescent="0.3">
      <c r="A688">
        <v>687</v>
      </c>
      <c r="B688" t="s">
        <v>24</v>
      </c>
      <c r="C688" s="1">
        <v>45931</v>
      </c>
      <c r="D688" t="s">
        <v>27</v>
      </c>
      <c r="E688" t="s">
        <v>33</v>
      </c>
      <c r="F688" s="2" t="s">
        <v>37</v>
      </c>
      <c r="G688" t="str">
        <f t="shared" si="72"/>
        <v>Oudgasm Tobacco Oud 04-UK</v>
      </c>
      <c r="H688">
        <f t="shared" si="73"/>
        <v>393</v>
      </c>
      <c r="I688">
        <f>VLOOKUP(G688,Table4[[SKU-COUNTRY2]:[Price in USD]],2,FALSE)</f>
        <v>151.13</v>
      </c>
      <c r="J688">
        <f>VLOOKUP(G688,Sheet3!$C$82:$I$100,MATCH(E688,Sheet3!C$82:H$82,0),FALSE) * VLOOKUP(C688,Table8[],2,0)</f>
        <v>59400.000000000007</v>
      </c>
      <c r="K688">
        <f>ROUND(J688*VLOOKUP(F688,Sheet3!$A$106:$C$111,2,FALSE),0)</f>
        <v>20790</v>
      </c>
      <c r="L688">
        <f t="shared" si="70"/>
        <v>38610.000000000007</v>
      </c>
      <c r="M688">
        <f t="shared" si="71"/>
        <v>65</v>
      </c>
      <c r="N688" t="str">
        <f t="shared" si="74"/>
        <v>No</v>
      </c>
      <c r="O688">
        <f t="shared" si="75"/>
        <v>0</v>
      </c>
      <c r="P688" t="str">
        <f t="shared" si="76"/>
        <v>None</v>
      </c>
      <c r="Q688" t="s">
        <v>124</v>
      </c>
    </row>
    <row r="689" spans="1:17" x14ac:dyDescent="0.3">
      <c r="A689">
        <v>688</v>
      </c>
      <c r="B689" t="s">
        <v>24</v>
      </c>
      <c r="C689" s="1">
        <v>45931</v>
      </c>
      <c r="D689" t="s">
        <v>27</v>
      </c>
      <c r="E689" t="s">
        <v>33</v>
      </c>
      <c r="F689" s="2" t="s">
        <v>38</v>
      </c>
      <c r="G689" t="str">
        <f t="shared" si="72"/>
        <v>Yum Pistachio Gelato 33-UK</v>
      </c>
      <c r="H689">
        <f t="shared" si="73"/>
        <v>422</v>
      </c>
      <c r="I689">
        <f>VLOOKUP(G689,Table4[[SKU-COUNTRY2]:[Price in USD]],2,FALSE)</f>
        <v>101.6</v>
      </c>
      <c r="J689">
        <f>VLOOKUP(G689,Sheet3!$C$82:$I$100,MATCH(E689,Sheet3!C$82:H$82,0),FALSE) * VLOOKUP(C689,Table8[],2,0)</f>
        <v>42900</v>
      </c>
      <c r="K689">
        <f>ROUND(J689*VLOOKUP(F689,Sheet3!$A$106:$C$111,2,FALSE),0)</f>
        <v>13299</v>
      </c>
      <c r="L689">
        <f t="shared" si="70"/>
        <v>29601</v>
      </c>
      <c r="M689">
        <f t="shared" si="71"/>
        <v>69</v>
      </c>
      <c r="N689" t="str">
        <f t="shared" si="74"/>
        <v>No</v>
      </c>
      <c r="O689">
        <f t="shared" si="75"/>
        <v>0</v>
      </c>
      <c r="P689" t="str">
        <f t="shared" si="76"/>
        <v>None</v>
      </c>
      <c r="Q689" t="s">
        <v>124</v>
      </c>
    </row>
    <row r="690" spans="1:17" x14ac:dyDescent="0.3">
      <c r="A690">
        <v>689</v>
      </c>
      <c r="B690" t="s">
        <v>24</v>
      </c>
      <c r="C690" s="1">
        <v>45931</v>
      </c>
      <c r="D690" t="s">
        <v>27</v>
      </c>
      <c r="E690" t="s">
        <v>33</v>
      </c>
      <c r="F690" s="2" t="s">
        <v>39</v>
      </c>
      <c r="G690" t="str">
        <f t="shared" si="72"/>
        <v>Freedom Musk Santal 34-UK</v>
      </c>
      <c r="H690">
        <f t="shared" si="73"/>
        <v>325</v>
      </c>
      <c r="I690">
        <f>VLOOKUP(G690,Table4[[SKU-COUNTRY2]:[Price in USD]],2,FALSE)</f>
        <v>101.6</v>
      </c>
      <c r="J690">
        <f>VLOOKUP(G690,Sheet3!$C$82:$I$100,MATCH(E690,Sheet3!C$82:H$82,0),FALSE) * VLOOKUP(C690,Table8[],2,0)</f>
        <v>33000</v>
      </c>
      <c r="K690">
        <f>ROUND(J690*VLOOKUP(F690,Sheet3!$A$106:$C$111,2,FALSE),0)</f>
        <v>10560</v>
      </c>
      <c r="L690">
        <f t="shared" si="70"/>
        <v>22440</v>
      </c>
      <c r="M690">
        <f t="shared" si="71"/>
        <v>68</v>
      </c>
      <c r="N690" t="str">
        <f t="shared" si="74"/>
        <v>No</v>
      </c>
      <c r="O690">
        <f t="shared" si="75"/>
        <v>0</v>
      </c>
      <c r="P690" t="str">
        <f t="shared" si="76"/>
        <v>None</v>
      </c>
      <c r="Q690" t="s">
        <v>124</v>
      </c>
    </row>
    <row r="691" spans="1:17" x14ac:dyDescent="0.3">
      <c r="A691">
        <v>690</v>
      </c>
      <c r="B691" t="s">
        <v>24</v>
      </c>
      <c r="C691" s="1">
        <v>45931</v>
      </c>
      <c r="D691" t="s">
        <v>27</v>
      </c>
      <c r="E691" t="s">
        <v>33</v>
      </c>
      <c r="F691" s="2" t="s">
        <v>40</v>
      </c>
      <c r="G691" t="str">
        <f t="shared" si="72"/>
        <v>Musk 12-UK</v>
      </c>
      <c r="H691">
        <f t="shared" si="73"/>
        <v>227</v>
      </c>
      <c r="I691">
        <f>VLOOKUP(G691,Table4[[SKU-COUNTRY2]:[Price in USD]],2,FALSE)</f>
        <v>101.6</v>
      </c>
      <c r="J691">
        <f>VLOOKUP(G691,Sheet3!$C$82:$I$100,MATCH(E691,Sheet3!C$82:H$82,0),FALSE) * VLOOKUP(C691,Table8[],2,0)</f>
        <v>23100.000000000007</v>
      </c>
      <c r="K691">
        <f>ROUND(J691*VLOOKUP(F691,Sheet3!$A$106:$C$111,2,FALSE),0)</f>
        <v>6930</v>
      </c>
      <c r="L691">
        <f t="shared" si="70"/>
        <v>16170.000000000007</v>
      </c>
      <c r="M691">
        <f t="shared" si="71"/>
        <v>70</v>
      </c>
      <c r="N691" t="str">
        <f t="shared" si="74"/>
        <v>No</v>
      </c>
      <c r="O691">
        <f t="shared" si="75"/>
        <v>0</v>
      </c>
      <c r="P691" t="str">
        <f t="shared" si="76"/>
        <v>None</v>
      </c>
      <c r="Q691" t="s">
        <v>124</v>
      </c>
    </row>
    <row r="692" spans="1:17" x14ac:dyDescent="0.3">
      <c r="A692">
        <v>691</v>
      </c>
      <c r="B692" t="s">
        <v>24</v>
      </c>
      <c r="C692" s="1">
        <v>45931</v>
      </c>
      <c r="D692" t="s">
        <v>27</v>
      </c>
      <c r="E692" t="s">
        <v>34</v>
      </c>
      <c r="F692" s="2" t="s">
        <v>35</v>
      </c>
      <c r="G692" t="str">
        <f t="shared" si="72"/>
        <v>Vanilla 28-UK</v>
      </c>
      <c r="H692">
        <f t="shared" si="73"/>
        <v>1624</v>
      </c>
      <c r="I692">
        <f>VLOOKUP(G692,Table4[[SKU-COUNTRY2]:[Price in USD]],2,FALSE)</f>
        <v>101.6</v>
      </c>
      <c r="J692">
        <f>VLOOKUP(G692,Sheet3!$C$82:$I$100,MATCH(E692,Sheet3!C$82:H$82,0),FALSE) * VLOOKUP(C692,Table8[],2,0)</f>
        <v>165000</v>
      </c>
      <c r="K692">
        <f>ROUND(J692*VLOOKUP(F692,Sheet3!$A$106:$C$111,2,FALSE),0)</f>
        <v>49500</v>
      </c>
      <c r="L692">
        <f t="shared" si="70"/>
        <v>115500</v>
      </c>
      <c r="M692">
        <f t="shared" si="71"/>
        <v>70</v>
      </c>
      <c r="N692" t="str">
        <f t="shared" si="74"/>
        <v>No</v>
      </c>
      <c r="O692">
        <f t="shared" si="75"/>
        <v>0</v>
      </c>
      <c r="P692" t="str">
        <f t="shared" si="76"/>
        <v>None</v>
      </c>
      <c r="Q692" t="s">
        <v>124</v>
      </c>
    </row>
    <row r="693" spans="1:17" x14ac:dyDescent="0.3">
      <c r="A693">
        <v>692</v>
      </c>
      <c r="B693" t="s">
        <v>24</v>
      </c>
      <c r="C693" s="1">
        <v>45931</v>
      </c>
      <c r="D693" t="s">
        <v>27</v>
      </c>
      <c r="E693" t="s">
        <v>34</v>
      </c>
      <c r="F693" s="2" t="s">
        <v>36</v>
      </c>
      <c r="G693" t="str">
        <f t="shared" si="72"/>
        <v>Eden Juicy Apple 01-UK</v>
      </c>
      <c r="H693">
        <f t="shared" si="73"/>
        <v>1191</v>
      </c>
      <c r="I693">
        <f>VLOOKUP(G693,Table4[[SKU-COUNTRY2]:[Price in USD]],2,FALSE)</f>
        <v>101.6</v>
      </c>
      <c r="J693">
        <f>VLOOKUP(G693,Sheet3!$C$82:$I$100,MATCH(E693,Sheet3!C$82:H$82,0),FALSE) * VLOOKUP(C693,Table8[],2,0)</f>
        <v>121000.00000000001</v>
      </c>
      <c r="K693">
        <f>ROUND(J693*VLOOKUP(F693,Sheet3!$A$106:$C$111,2,FALSE),0)</f>
        <v>37510</v>
      </c>
      <c r="L693">
        <f t="shared" si="70"/>
        <v>83490.000000000015</v>
      </c>
      <c r="M693">
        <f t="shared" si="71"/>
        <v>69</v>
      </c>
      <c r="N693" t="str">
        <f t="shared" si="74"/>
        <v>No</v>
      </c>
      <c r="O693">
        <f t="shared" si="75"/>
        <v>0</v>
      </c>
      <c r="P693" t="str">
        <f t="shared" si="76"/>
        <v>None</v>
      </c>
      <c r="Q693" t="s">
        <v>124</v>
      </c>
    </row>
    <row r="694" spans="1:17" x14ac:dyDescent="0.3">
      <c r="A694">
        <v>693</v>
      </c>
      <c r="B694" t="s">
        <v>24</v>
      </c>
      <c r="C694" s="1">
        <v>45931</v>
      </c>
      <c r="D694" t="s">
        <v>27</v>
      </c>
      <c r="E694" t="s">
        <v>34</v>
      </c>
      <c r="F694" s="2" t="s">
        <v>37</v>
      </c>
      <c r="G694" t="str">
        <f t="shared" si="72"/>
        <v>Oudgasm Tobacco Oud 04-UK</v>
      </c>
      <c r="H694">
        <f t="shared" si="73"/>
        <v>655</v>
      </c>
      <c r="I694">
        <f>VLOOKUP(G694,Table4[[SKU-COUNTRY2]:[Price in USD]],2,FALSE)</f>
        <v>151.13</v>
      </c>
      <c r="J694">
        <f>VLOOKUP(G694,Sheet3!$C$82:$I$100,MATCH(E694,Sheet3!C$82:H$82,0),FALSE) * VLOOKUP(C694,Table8[],2,0)</f>
        <v>99000.000000000015</v>
      </c>
      <c r="K694">
        <f>ROUND(J694*VLOOKUP(F694,Sheet3!$A$106:$C$111,2,FALSE),0)</f>
        <v>34650</v>
      </c>
      <c r="L694">
        <f t="shared" si="70"/>
        <v>64350.000000000015</v>
      </c>
      <c r="M694">
        <f t="shared" si="71"/>
        <v>65</v>
      </c>
      <c r="N694" t="str">
        <f t="shared" si="74"/>
        <v>No</v>
      </c>
      <c r="O694">
        <f t="shared" si="75"/>
        <v>0</v>
      </c>
      <c r="P694" t="str">
        <f t="shared" si="76"/>
        <v>None</v>
      </c>
      <c r="Q694" t="s">
        <v>124</v>
      </c>
    </row>
    <row r="695" spans="1:17" x14ac:dyDescent="0.3">
      <c r="A695">
        <v>694</v>
      </c>
      <c r="B695" t="s">
        <v>24</v>
      </c>
      <c r="C695" s="1">
        <v>45931</v>
      </c>
      <c r="D695" t="s">
        <v>27</v>
      </c>
      <c r="E695" t="s">
        <v>34</v>
      </c>
      <c r="F695" s="2" t="s">
        <v>38</v>
      </c>
      <c r="G695" t="str">
        <f t="shared" si="72"/>
        <v>Yum Pistachio Gelato 33-UK</v>
      </c>
      <c r="H695">
        <f t="shared" si="73"/>
        <v>704</v>
      </c>
      <c r="I695">
        <f>VLOOKUP(G695,Table4[[SKU-COUNTRY2]:[Price in USD]],2,FALSE)</f>
        <v>101.6</v>
      </c>
      <c r="J695">
        <f>VLOOKUP(G695,Sheet3!$C$82:$I$100,MATCH(E695,Sheet3!C$82:H$82,0),FALSE) * VLOOKUP(C695,Table8[],2,0)</f>
        <v>71500</v>
      </c>
      <c r="K695">
        <f>ROUND(J695*VLOOKUP(F695,Sheet3!$A$106:$C$111,2,FALSE),0)</f>
        <v>22165</v>
      </c>
      <c r="L695">
        <f t="shared" si="70"/>
        <v>49335</v>
      </c>
      <c r="M695">
        <f t="shared" si="71"/>
        <v>69</v>
      </c>
      <c r="N695" t="str">
        <f t="shared" si="74"/>
        <v>No</v>
      </c>
      <c r="O695">
        <f t="shared" si="75"/>
        <v>0</v>
      </c>
      <c r="P695" t="str">
        <f t="shared" si="76"/>
        <v>None</v>
      </c>
      <c r="Q695" t="s">
        <v>124</v>
      </c>
    </row>
    <row r="696" spans="1:17" x14ac:dyDescent="0.3">
      <c r="A696">
        <v>695</v>
      </c>
      <c r="B696" t="s">
        <v>24</v>
      </c>
      <c r="C696" s="1">
        <v>45931</v>
      </c>
      <c r="D696" t="s">
        <v>27</v>
      </c>
      <c r="E696" t="s">
        <v>34</v>
      </c>
      <c r="F696" s="2" t="s">
        <v>39</v>
      </c>
      <c r="G696" t="str">
        <f t="shared" si="72"/>
        <v>Freedom Musk Santal 34-UK</v>
      </c>
      <c r="H696">
        <f t="shared" si="73"/>
        <v>541</v>
      </c>
      <c r="I696">
        <f>VLOOKUP(G696,Table4[[SKU-COUNTRY2]:[Price in USD]],2,FALSE)</f>
        <v>101.6</v>
      </c>
      <c r="J696">
        <f>VLOOKUP(G696,Sheet3!$C$82:$I$100,MATCH(E696,Sheet3!C$82:H$82,0),FALSE) * VLOOKUP(C696,Table8[],2,0)</f>
        <v>55000.000000000007</v>
      </c>
      <c r="K696">
        <f>ROUND(J696*VLOOKUP(F696,Sheet3!$A$106:$C$111,2,FALSE),0)</f>
        <v>17600</v>
      </c>
      <c r="L696">
        <f t="shared" si="70"/>
        <v>37400.000000000007</v>
      </c>
      <c r="M696">
        <f t="shared" si="71"/>
        <v>68</v>
      </c>
      <c r="N696" t="str">
        <f t="shared" si="74"/>
        <v>No</v>
      </c>
      <c r="O696">
        <f t="shared" si="75"/>
        <v>0</v>
      </c>
      <c r="P696" t="str">
        <f t="shared" si="76"/>
        <v>None</v>
      </c>
      <c r="Q696" t="s">
        <v>124</v>
      </c>
    </row>
    <row r="697" spans="1:17" x14ac:dyDescent="0.3">
      <c r="A697">
        <v>696</v>
      </c>
      <c r="B697" t="s">
        <v>24</v>
      </c>
      <c r="C697" s="1">
        <v>45931</v>
      </c>
      <c r="D697" t="s">
        <v>27</v>
      </c>
      <c r="E697" t="s">
        <v>34</v>
      </c>
      <c r="F697" s="2" t="s">
        <v>40</v>
      </c>
      <c r="G697" t="str">
        <f t="shared" si="72"/>
        <v>Musk 12-UK</v>
      </c>
      <c r="H697">
        <f t="shared" si="73"/>
        <v>379</v>
      </c>
      <c r="I697">
        <f>VLOOKUP(G697,Table4[[SKU-COUNTRY2]:[Price in USD]],2,FALSE)</f>
        <v>101.6</v>
      </c>
      <c r="J697">
        <f>VLOOKUP(G697,Sheet3!$C$82:$I$100,MATCH(E697,Sheet3!C$82:H$82,0),FALSE) * VLOOKUP(C697,Table8[],2,0)</f>
        <v>38500</v>
      </c>
      <c r="K697">
        <f>ROUND(J697*VLOOKUP(F697,Sheet3!$A$106:$C$111,2,FALSE),0)</f>
        <v>11550</v>
      </c>
      <c r="L697">
        <f t="shared" si="70"/>
        <v>26950</v>
      </c>
      <c r="M697">
        <f t="shared" si="71"/>
        <v>70</v>
      </c>
      <c r="N697" t="str">
        <f t="shared" si="74"/>
        <v>No</v>
      </c>
      <c r="O697">
        <f t="shared" si="75"/>
        <v>0</v>
      </c>
      <c r="P697" t="str">
        <f t="shared" si="76"/>
        <v>None</v>
      </c>
      <c r="Q697" t="s">
        <v>124</v>
      </c>
    </row>
    <row r="698" spans="1:17" x14ac:dyDescent="0.3">
      <c r="A698">
        <v>697</v>
      </c>
      <c r="B698" t="s">
        <v>24</v>
      </c>
      <c r="C698" s="1">
        <v>45931</v>
      </c>
      <c r="D698" t="s">
        <v>29</v>
      </c>
      <c r="E698" t="s">
        <v>32</v>
      </c>
      <c r="F698" s="2" t="s">
        <v>35</v>
      </c>
      <c r="G698" t="str">
        <f t="shared" si="72"/>
        <v>Vanilla 28-UAE</v>
      </c>
      <c r="H698">
        <f t="shared" si="73"/>
        <v>2183</v>
      </c>
      <c r="I698">
        <f>VLOOKUP(G698,Table4[[SKU-COUNTRY2]:[Price in USD]],2,FALSE)</f>
        <v>113.4</v>
      </c>
      <c r="J698">
        <f>VLOOKUP(G698,Sheet3!$C$82:$I$100,MATCH(E698,Sheet3!C$82:H$82,0),FALSE) * VLOOKUP(C698,Table8[],2,0)</f>
        <v>247500.00000000003</v>
      </c>
      <c r="K698">
        <f>ROUND(J698*VLOOKUP(F698,Sheet3!$A$106:$C$111,2,FALSE),0)</f>
        <v>74250</v>
      </c>
      <c r="L698">
        <f t="shared" si="70"/>
        <v>173250.00000000003</v>
      </c>
      <c r="M698">
        <f t="shared" si="71"/>
        <v>70</v>
      </c>
      <c r="N698" t="str">
        <f t="shared" si="74"/>
        <v>No</v>
      </c>
      <c r="O698">
        <f t="shared" si="75"/>
        <v>0</v>
      </c>
      <c r="P698" t="str">
        <f t="shared" si="76"/>
        <v>None</v>
      </c>
      <c r="Q698" t="s">
        <v>124</v>
      </c>
    </row>
    <row r="699" spans="1:17" x14ac:dyDescent="0.3">
      <c r="A699">
        <v>698</v>
      </c>
      <c r="B699" t="s">
        <v>24</v>
      </c>
      <c r="C699" s="1">
        <v>45931</v>
      </c>
      <c r="D699" t="s">
        <v>29</v>
      </c>
      <c r="E699" t="s">
        <v>32</v>
      </c>
      <c r="F699" s="2" t="s">
        <v>36</v>
      </c>
      <c r="G699" t="str">
        <f t="shared" si="72"/>
        <v>Eden Juicy Apple 01-UAE</v>
      </c>
      <c r="H699">
        <f t="shared" si="73"/>
        <v>1637</v>
      </c>
      <c r="I699">
        <f>VLOOKUP(G699,Table4[[SKU-COUNTRY2]:[Price in USD]],2,FALSE)</f>
        <v>113.4</v>
      </c>
      <c r="J699">
        <f>VLOOKUP(G699,Sheet3!$C$82:$I$100,MATCH(E699,Sheet3!C$82:H$82,0),FALSE) * VLOOKUP(C699,Table8[],2,0)</f>
        <v>185625.00000000003</v>
      </c>
      <c r="K699">
        <f>ROUND(J699*VLOOKUP(F699,Sheet3!$A$106:$C$111,2,FALSE),0)</f>
        <v>57544</v>
      </c>
      <c r="L699">
        <f t="shared" si="70"/>
        <v>128081.00000000003</v>
      </c>
      <c r="M699">
        <f t="shared" si="71"/>
        <v>69</v>
      </c>
      <c r="N699" t="str">
        <f t="shared" si="74"/>
        <v>No</v>
      </c>
      <c r="O699">
        <f t="shared" si="75"/>
        <v>0</v>
      </c>
      <c r="P699" t="str">
        <f t="shared" si="76"/>
        <v>None</v>
      </c>
      <c r="Q699" t="s">
        <v>124</v>
      </c>
    </row>
    <row r="700" spans="1:17" x14ac:dyDescent="0.3">
      <c r="A700">
        <v>699</v>
      </c>
      <c r="B700" t="s">
        <v>24</v>
      </c>
      <c r="C700" s="1">
        <v>45931</v>
      </c>
      <c r="D700" t="s">
        <v>29</v>
      </c>
      <c r="E700" t="s">
        <v>32</v>
      </c>
      <c r="F700" s="2" t="s">
        <v>37</v>
      </c>
      <c r="G700" t="str">
        <f t="shared" si="72"/>
        <v>Oudgasm Tobacco Oud 04-UAE</v>
      </c>
      <c r="H700">
        <f t="shared" si="73"/>
        <v>2911</v>
      </c>
      <c r="I700">
        <f>VLOOKUP(G700,Table4[[SKU-COUNTRY2]:[Price in USD]],2,FALSE)</f>
        <v>148.77000000000001</v>
      </c>
      <c r="J700">
        <f>VLOOKUP(G700,Sheet3!$C$82:$I$100,MATCH(E700,Sheet3!C$82:H$82,0),FALSE) * VLOOKUP(C700,Table8[],2,0)</f>
        <v>433125.00000000006</v>
      </c>
      <c r="K700">
        <f>ROUND(J700*VLOOKUP(F700,Sheet3!$A$106:$C$111,2,FALSE),0)</f>
        <v>151594</v>
      </c>
      <c r="L700">
        <f t="shared" si="70"/>
        <v>281531.00000000006</v>
      </c>
      <c r="M700">
        <f t="shared" si="71"/>
        <v>65</v>
      </c>
      <c r="N700" t="str">
        <f t="shared" si="74"/>
        <v>No</v>
      </c>
      <c r="O700">
        <f t="shared" si="75"/>
        <v>0</v>
      </c>
      <c r="P700" t="str">
        <f t="shared" si="76"/>
        <v>None</v>
      </c>
      <c r="Q700" t="s">
        <v>124</v>
      </c>
    </row>
    <row r="701" spans="1:17" x14ac:dyDescent="0.3">
      <c r="A701">
        <v>700</v>
      </c>
      <c r="B701" t="s">
        <v>24</v>
      </c>
      <c r="C701" s="1">
        <v>45931</v>
      </c>
      <c r="D701" t="s">
        <v>29</v>
      </c>
      <c r="E701" t="s">
        <v>32</v>
      </c>
      <c r="F701" s="2" t="s">
        <v>38</v>
      </c>
      <c r="G701" t="str">
        <f t="shared" si="72"/>
        <v>Yum Pistachio Gelato 33-UAE</v>
      </c>
      <c r="H701">
        <f t="shared" si="73"/>
        <v>1310</v>
      </c>
      <c r="I701">
        <f>VLOOKUP(G701,Table4[[SKU-COUNTRY2]:[Price in USD]],2,FALSE)</f>
        <v>113.4</v>
      </c>
      <c r="J701">
        <f>VLOOKUP(G701,Sheet3!$C$82:$I$100,MATCH(E701,Sheet3!C$82:H$82,0),FALSE) * VLOOKUP(C701,Table8[],2,0)</f>
        <v>148500</v>
      </c>
      <c r="K701">
        <f>ROUND(J701*VLOOKUP(F701,Sheet3!$A$106:$C$111,2,FALSE),0)</f>
        <v>46035</v>
      </c>
      <c r="L701">
        <f t="shared" si="70"/>
        <v>102465</v>
      </c>
      <c r="M701">
        <f t="shared" si="71"/>
        <v>69</v>
      </c>
      <c r="N701" t="str">
        <f t="shared" si="74"/>
        <v>No</v>
      </c>
      <c r="O701">
        <f t="shared" si="75"/>
        <v>0</v>
      </c>
      <c r="P701" t="str">
        <f t="shared" si="76"/>
        <v>None</v>
      </c>
      <c r="Q701" t="s">
        <v>124</v>
      </c>
    </row>
    <row r="702" spans="1:17" x14ac:dyDescent="0.3">
      <c r="A702">
        <v>701</v>
      </c>
      <c r="B702" t="s">
        <v>24</v>
      </c>
      <c r="C702" s="1">
        <v>45931</v>
      </c>
      <c r="D702" t="s">
        <v>29</v>
      </c>
      <c r="E702" t="s">
        <v>32</v>
      </c>
      <c r="F702" s="2" t="s">
        <v>39</v>
      </c>
      <c r="G702" t="str">
        <f t="shared" si="72"/>
        <v>Freedom Musk Santal 34-UAE</v>
      </c>
      <c r="H702">
        <f t="shared" si="73"/>
        <v>1091</v>
      </c>
      <c r="I702">
        <f>VLOOKUP(G702,Table4[[SKU-COUNTRY2]:[Price in USD]],2,FALSE)</f>
        <v>113.4</v>
      </c>
      <c r="J702">
        <f>VLOOKUP(G702,Sheet3!$C$82:$I$100,MATCH(E702,Sheet3!C$82:H$82,0),FALSE) * VLOOKUP(C702,Table8[],2,0)</f>
        <v>123750.00000000001</v>
      </c>
      <c r="K702">
        <f>ROUND(J702*VLOOKUP(F702,Sheet3!$A$106:$C$111,2,FALSE),0)</f>
        <v>39600</v>
      </c>
      <c r="L702">
        <f t="shared" si="70"/>
        <v>84150.000000000015</v>
      </c>
      <c r="M702">
        <f t="shared" si="71"/>
        <v>68</v>
      </c>
      <c r="N702" t="str">
        <f t="shared" si="74"/>
        <v>No</v>
      </c>
      <c r="O702">
        <f t="shared" si="75"/>
        <v>0</v>
      </c>
      <c r="P702" t="str">
        <f t="shared" si="76"/>
        <v>None</v>
      </c>
      <c r="Q702" t="s">
        <v>124</v>
      </c>
    </row>
    <row r="703" spans="1:17" x14ac:dyDescent="0.3">
      <c r="A703">
        <v>702</v>
      </c>
      <c r="B703" t="s">
        <v>24</v>
      </c>
      <c r="C703" s="1">
        <v>45931</v>
      </c>
      <c r="D703" t="s">
        <v>29</v>
      </c>
      <c r="E703" t="s">
        <v>32</v>
      </c>
      <c r="F703" s="2" t="s">
        <v>40</v>
      </c>
      <c r="G703" t="str">
        <f t="shared" si="72"/>
        <v>Musk 12-UAE</v>
      </c>
      <c r="H703">
        <f t="shared" si="73"/>
        <v>873</v>
      </c>
      <c r="I703">
        <f>VLOOKUP(G703,Table4[[SKU-COUNTRY2]:[Price in USD]],2,FALSE)</f>
        <v>113.4</v>
      </c>
      <c r="J703">
        <f>VLOOKUP(G703,Sheet3!$C$82:$I$100,MATCH(E703,Sheet3!C$82:H$82,0),FALSE) * VLOOKUP(C703,Table8[],2,0)</f>
        <v>99000.000000000015</v>
      </c>
      <c r="K703">
        <f>ROUND(J703*VLOOKUP(F703,Sheet3!$A$106:$C$111,2,FALSE),0)</f>
        <v>29700</v>
      </c>
      <c r="L703">
        <f t="shared" si="70"/>
        <v>69300.000000000015</v>
      </c>
      <c r="M703">
        <f t="shared" si="71"/>
        <v>70</v>
      </c>
      <c r="N703" t="str">
        <f t="shared" si="74"/>
        <v>No</v>
      </c>
      <c r="O703">
        <f t="shared" si="75"/>
        <v>0</v>
      </c>
      <c r="P703" t="str">
        <f t="shared" si="76"/>
        <v>None</v>
      </c>
      <c r="Q703" t="s">
        <v>124</v>
      </c>
    </row>
    <row r="704" spans="1:17" x14ac:dyDescent="0.3">
      <c r="A704">
        <v>703</v>
      </c>
      <c r="B704" t="s">
        <v>24</v>
      </c>
      <c r="C704" s="1">
        <v>45931</v>
      </c>
      <c r="D704" t="s">
        <v>29</v>
      </c>
      <c r="E704" t="s">
        <v>31</v>
      </c>
      <c r="F704" s="2" t="s">
        <v>35</v>
      </c>
      <c r="G704" t="str">
        <f t="shared" si="72"/>
        <v>Vanilla 28-UAE</v>
      </c>
      <c r="H704">
        <f t="shared" si="73"/>
        <v>1213</v>
      </c>
      <c r="I704">
        <f>VLOOKUP(G704,Table4[[SKU-COUNTRY2]:[Price in USD]],2,FALSE)</f>
        <v>113.4</v>
      </c>
      <c r="J704">
        <f>VLOOKUP(G704,Sheet3!$C$82:$I$100,MATCH(E704,Sheet3!C$82:H$82,0),FALSE) * VLOOKUP(C704,Table8[],2,0)</f>
        <v>137500</v>
      </c>
      <c r="K704">
        <f>ROUND(J704*VLOOKUP(F704,Sheet3!$A$106:$C$111,2,FALSE),0)</f>
        <v>41250</v>
      </c>
      <c r="L704">
        <f t="shared" si="70"/>
        <v>96250</v>
      </c>
      <c r="M704">
        <f t="shared" si="71"/>
        <v>70</v>
      </c>
      <c r="N704" t="str">
        <f t="shared" si="74"/>
        <v>No</v>
      </c>
      <c r="O704">
        <f t="shared" si="75"/>
        <v>0</v>
      </c>
      <c r="P704" t="str">
        <f t="shared" si="76"/>
        <v>None</v>
      </c>
      <c r="Q704" t="s">
        <v>124</v>
      </c>
    </row>
    <row r="705" spans="1:17" x14ac:dyDescent="0.3">
      <c r="A705">
        <v>704</v>
      </c>
      <c r="B705" t="s">
        <v>24</v>
      </c>
      <c r="C705" s="1">
        <v>45931</v>
      </c>
      <c r="D705" t="s">
        <v>29</v>
      </c>
      <c r="E705" t="s">
        <v>31</v>
      </c>
      <c r="F705" s="2" t="s">
        <v>36</v>
      </c>
      <c r="G705" t="str">
        <f t="shared" si="72"/>
        <v>Eden Juicy Apple 01-UAE</v>
      </c>
      <c r="H705">
        <f t="shared" si="73"/>
        <v>909</v>
      </c>
      <c r="I705">
        <f>VLOOKUP(G705,Table4[[SKU-COUNTRY2]:[Price in USD]],2,FALSE)</f>
        <v>113.4</v>
      </c>
      <c r="J705">
        <f>VLOOKUP(G705,Sheet3!$C$82:$I$100,MATCH(E705,Sheet3!C$82:H$82,0),FALSE) * VLOOKUP(C705,Table8[],2,0)</f>
        <v>103125.00000000001</v>
      </c>
      <c r="K705">
        <f>ROUND(J705*VLOOKUP(F705,Sheet3!$A$106:$C$111,2,FALSE),0)</f>
        <v>31969</v>
      </c>
      <c r="L705">
        <f t="shared" si="70"/>
        <v>71156.000000000015</v>
      </c>
      <c r="M705">
        <f t="shared" si="71"/>
        <v>69</v>
      </c>
      <c r="N705" t="str">
        <f t="shared" si="74"/>
        <v>No</v>
      </c>
      <c r="O705">
        <f t="shared" si="75"/>
        <v>0</v>
      </c>
      <c r="P705" t="str">
        <f t="shared" si="76"/>
        <v>None</v>
      </c>
      <c r="Q705" t="s">
        <v>124</v>
      </c>
    </row>
    <row r="706" spans="1:17" x14ac:dyDescent="0.3">
      <c r="A706">
        <v>705</v>
      </c>
      <c r="B706" t="s">
        <v>24</v>
      </c>
      <c r="C706" s="1">
        <v>45931</v>
      </c>
      <c r="D706" t="s">
        <v>29</v>
      </c>
      <c r="E706" t="s">
        <v>31</v>
      </c>
      <c r="F706" s="2" t="s">
        <v>37</v>
      </c>
      <c r="G706" t="str">
        <f t="shared" si="72"/>
        <v>Oudgasm Tobacco Oud 04-UAE</v>
      </c>
      <c r="H706">
        <f t="shared" si="73"/>
        <v>1617</v>
      </c>
      <c r="I706">
        <f>VLOOKUP(G706,Table4[[SKU-COUNTRY2]:[Price in USD]],2,FALSE)</f>
        <v>148.77000000000001</v>
      </c>
      <c r="J706">
        <f>VLOOKUP(G706,Sheet3!$C$82:$I$100,MATCH(E706,Sheet3!C$82:H$82,0),FALSE) * VLOOKUP(C706,Table8[],2,0)</f>
        <v>240625.00000000003</v>
      </c>
      <c r="K706">
        <f>ROUND(J706*VLOOKUP(F706,Sheet3!$A$106:$C$111,2,FALSE),0)</f>
        <v>84219</v>
      </c>
      <c r="L706">
        <f t="shared" ref="L706:L769" si="77">J706-K706</f>
        <v>156406.00000000003</v>
      </c>
      <c r="M706">
        <f t="shared" ref="M706:M769" si="78">ROUND(L706/J706*100, 1)</f>
        <v>65</v>
      </c>
      <c r="N706" t="str">
        <f t="shared" si="74"/>
        <v>No</v>
      </c>
      <c r="O706">
        <f t="shared" si="75"/>
        <v>0</v>
      </c>
      <c r="P706" t="str">
        <f t="shared" si="76"/>
        <v>None</v>
      </c>
      <c r="Q706" t="s">
        <v>124</v>
      </c>
    </row>
    <row r="707" spans="1:17" x14ac:dyDescent="0.3">
      <c r="A707">
        <v>706</v>
      </c>
      <c r="B707" t="s">
        <v>24</v>
      </c>
      <c r="C707" s="1">
        <v>45931</v>
      </c>
      <c r="D707" t="s">
        <v>29</v>
      </c>
      <c r="E707" t="s">
        <v>31</v>
      </c>
      <c r="F707" s="2" t="s">
        <v>38</v>
      </c>
      <c r="G707" t="str">
        <f t="shared" ref="G707:G770" si="79">_xlfn.CONCAT(F707,"-",D707,)</f>
        <v>Yum Pistachio Gelato 33-UAE</v>
      </c>
      <c r="H707">
        <f t="shared" ref="H707:H770" si="80">ROUND(J707/I707,0)</f>
        <v>728</v>
      </c>
      <c r="I707">
        <f>VLOOKUP(G707,Table4[[SKU-COUNTRY2]:[Price in USD]],2,FALSE)</f>
        <v>113.4</v>
      </c>
      <c r="J707">
        <f>VLOOKUP(G707,Sheet3!$C$82:$I$100,MATCH(E707,Sheet3!C$82:H$82,0),FALSE) * VLOOKUP(C707,Table8[],2,0)</f>
        <v>82500</v>
      </c>
      <c r="K707">
        <f>ROUND(J707*VLOOKUP(F707,Sheet3!$A$106:$C$111,2,FALSE),0)</f>
        <v>25575</v>
      </c>
      <c r="L707">
        <f t="shared" si="77"/>
        <v>56925</v>
      </c>
      <c r="M707">
        <f t="shared" si="78"/>
        <v>69</v>
      </c>
      <c r="N707" t="str">
        <f t="shared" ref="N707:N770" si="81">IF(OR(
    MONTH(C707)=2,
    AND(MONTH(C707)=3, D707="UAE"),
    AND(MONTH(C707)=6, D707="UAE"),
    AND(MONTH(C707)=7, OR(D707="USA", D707="UK")),
    MONTH(C707)=9,
    AND(MONTH(C707)=11, OR(D707="USA", D707="UK"))
), "Yes", "No")</f>
        <v>No</v>
      </c>
      <c r="O707">
        <f t="shared" ref="O707:O770" si="82">IF(MONTH(C707)=2, 15,
IF(AND(MONTH(C707)=3, D707="UAE"), 20,
IF(AND(MONTH(C707)=6, D707="UAE"), 15,
IF(AND(MONTH(C707)=7, OR(D707="USA", D707="UK")), 20,
IF(AND(MONTH(C707)=11, OR(D707="USA", D707="UK")), 25,
0)))))</f>
        <v>0</v>
      </c>
      <c r="P707" t="str">
        <f t="shared" ref="P707:P770" si="83">IF(MONTH(C707)=2, "Valentine's Day",
IF(AND(MONTH(C707)=3, D707="UAE"), "Eid Al Fitr",
IF(AND(MONTH(C707)=6, D707="UAE"), "Eid Al Adha",
IF(AND(MONTH(C707)=7, OR(D707="USA", D707="UK")), "Summer Sale",
IF(MONTH(C707)=9, "Freedom Launch",
IF(AND(MONTH(C707)=11, OR(D707="USA", D707="UK")), "Black Friday",
"None"))))))</f>
        <v>None</v>
      </c>
      <c r="Q707" t="s">
        <v>124</v>
      </c>
    </row>
    <row r="708" spans="1:17" x14ac:dyDescent="0.3">
      <c r="A708">
        <v>707</v>
      </c>
      <c r="B708" t="s">
        <v>24</v>
      </c>
      <c r="C708" s="1">
        <v>45931</v>
      </c>
      <c r="D708" t="s">
        <v>29</v>
      </c>
      <c r="E708" t="s">
        <v>31</v>
      </c>
      <c r="F708" s="2" t="s">
        <v>39</v>
      </c>
      <c r="G708" t="str">
        <f t="shared" si="79"/>
        <v>Freedom Musk Santal 34-UAE</v>
      </c>
      <c r="H708">
        <f t="shared" si="80"/>
        <v>606</v>
      </c>
      <c r="I708">
        <f>VLOOKUP(G708,Table4[[SKU-COUNTRY2]:[Price in USD]],2,FALSE)</f>
        <v>113.4</v>
      </c>
      <c r="J708">
        <f>VLOOKUP(G708,Sheet3!$C$82:$I$100,MATCH(E708,Sheet3!C$82:H$82,0),FALSE) * VLOOKUP(C708,Table8[],2,0)</f>
        <v>68750</v>
      </c>
      <c r="K708">
        <f>ROUND(J708*VLOOKUP(F708,Sheet3!$A$106:$C$111,2,FALSE),0)</f>
        <v>22000</v>
      </c>
      <c r="L708">
        <f t="shared" si="77"/>
        <v>46750</v>
      </c>
      <c r="M708">
        <f t="shared" si="78"/>
        <v>68</v>
      </c>
      <c r="N708" t="str">
        <f t="shared" si="81"/>
        <v>No</v>
      </c>
      <c r="O708">
        <f t="shared" si="82"/>
        <v>0</v>
      </c>
      <c r="P708" t="str">
        <f t="shared" si="83"/>
        <v>None</v>
      </c>
      <c r="Q708" t="s">
        <v>124</v>
      </c>
    </row>
    <row r="709" spans="1:17" x14ac:dyDescent="0.3">
      <c r="A709">
        <v>708</v>
      </c>
      <c r="B709" t="s">
        <v>24</v>
      </c>
      <c r="C709" s="1">
        <v>45931</v>
      </c>
      <c r="D709" t="s">
        <v>29</v>
      </c>
      <c r="E709" t="s">
        <v>31</v>
      </c>
      <c r="F709" s="2" t="s">
        <v>40</v>
      </c>
      <c r="G709" t="str">
        <f t="shared" si="79"/>
        <v>Musk 12-UAE</v>
      </c>
      <c r="H709">
        <f t="shared" si="80"/>
        <v>485</v>
      </c>
      <c r="I709">
        <f>VLOOKUP(G709,Table4[[SKU-COUNTRY2]:[Price in USD]],2,FALSE)</f>
        <v>113.4</v>
      </c>
      <c r="J709">
        <f>VLOOKUP(G709,Sheet3!$C$82:$I$100,MATCH(E709,Sheet3!C$82:H$82,0),FALSE) * VLOOKUP(C709,Table8[],2,0)</f>
        <v>55000.000000000007</v>
      </c>
      <c r="K709">
        <f>ROUND(J709*VLOOKUP(F709,Sheet3!$A$106:$C$111,2,FALSE),0)</f>
        <v>16500</v>
      </c>
      <c r="L709">
        <f t="shared" si="77"/>
        <v>38500.000000000007</v>
      </c>
      <c r="M709">
        <f t="shared" si="78"/>
        <v>70</v>
      </c>
      <c r="N709" t="str">
        <f t="shared" si="81"/>
        <v>No</v>
      </c>
      <c r="O709">
        <f t="shared" si="82"/>
        <v>0</v>
      </c>
      <c r="P709" t="str">
        <f t="shared" si="83"/>
        <v>None</v>
      </c>
      <c r="Q709" t="s">
        <v>124</v>
      </c>
    </row>
    <row r="710" spans="1:17" x14ac:dyDescent="0.3">
      <c r="A710">
        <v>709</v>
      </c>
      <c r="B710" t="s">
        <v>24</v>
      </c>
      <c r="C710" s="1">
        <v>45931</v>
      </c>
      <c r="D710" t="s">
        <v>29</v>
      </c>
      <c r="E710" t="s">
        <v>33</v>
      </c>
      <c r="F710" s="2" t="s">
        <v>35</v>
      </c>
      <c r="G710" t="str">
        <f t="shared" si="79"/>
        <v>Vanilla 28-UAE</v>
      </c>
      <c r="H710">
        <f t="shared" si="80"/>
        <v>970</v>
      </c>
      <c r="I710">
        <f>VLOOKUP(G710,Table4[[SKU-COUNTRY2]:[Price in USD]],2,FALSE)</f>
        <v>113.4</v>
      </c>
      <c r="J710">
        <f>VLOOKUP(G710,Sheet3!$C$82:$I$100,MATCH(E710,Sheet3!C$82:H$82,0),FALSE) * VLOOKUP(C710,Table8[],2,0)</f>
        <v>110000.00000000001</v>
      </c>
      <c r="K710">
        <f>ROUND(J710*VLOOKUP(F710,Sheet3!$A$106:$C$111,2,FALSE),0)</f>
        <v>33000</v>
      </c>
      <c r="L710">
        <f t="shared" si="77"/>
        <v>77000.000000000015</v>
      </c>
      <c r="M710">
        <f t="shared" si="78"/>
        <v>70</v>
      </c>
      <c r="N710" t="str">
        <f t="shared" si="81"/>
        <v>No</v>
      </c>
      <c r="O710">
        <f t="shared" si="82"/>
        <v>0</v>
      </c>
      <c r="P710" t="str">
        <f t="shared" si="83"/>
        <v>None</v>
      </c>
      <c r="Q710" t="s">
        <v>124</v>
      </c>
    </row>
    <row r="711" spans="1:17" x14ac:dyDescent="0.3">
      <c r="A711">
        <v>710</v>
      </c>
      <c r="B711" t="s">
        <v>24</v>
      </c>
      <c r="C711" s="1">
        <v>45931</v>
      </c>
      <c r="D711" t="s">
        <v>29</v>
      </c>
      <c r="E711" t="s">
        <v>33</v>
      </c>
      <c r="F711" s="2" t="s">
        <v>36</v>
      </c>
      <c r="G711" t="str">
        <f t="shared" si="79"/>
        <v>Eden Juicy Apple 01-UAE</v>
      </c>
      <c r="H711">
        <f t="shared" si="80"/>
        <v>728</v>
      </c>
      <c r="I711">
        <f>VLOOKUP(G711,Table4[[SKU-COUNTRY2]:[Price in USD]],2,FALSE)</f>
        <v>113.4</v>
      </c>
      <c r="J711">
        <f>VLOOKUP(G711,Sheet3!$C$82:$I$100,MATCH(E711,Sheet3!C$82:H$82,0),FALSE) * VLOOKUP(C711,Table8[],2,0)</f>
        <v>82500</v>
      </c>
      <c r="K711">
        <f>ROUND(J711*VLOOKUP(F711,Sheet3!$A$106:$C$111,2,FALSE),0)</f>
        <v>25575</v>
      </c>
      <c r="L711">
        <f t="shared" si="77"/>
        <v>56925</v>
      </c>
      <c r="M711">
        <f t="shared" si="78"/>
        <v>69</v>
      </c>
      <c r="N711" t="str">
        <f t="shared" si="81"/>
        <v>No</v>
      </c>
      <c r="O711">
        <f t="shared" si="82"/>
        <v>0</v>
      </c>
      <c r="P711" t="str">
        <f t="shared" si="83"/>
        <v>None</v>
      </c>
      <c r="Q711" t="s">
        <v>124</v>
      </c>
    </row>
    <row r="712" spans="1:17" x14ac:dyDescent="0.3">
      <c r="A712">
        <v>711</v>
      </c>
      <c r="B712" t="s">
        <v>24</v>
      </c>
      <c r="C712" s="1">
        <v>45931</v>
      </c>
      <c r="D712" t="s">
        <v>29</v>
      </c>
      <c r="E712" t="s">
        <v>33</v>
      </c>
      <c r="F712" s="2" t="s">
        <v>37</v>
      </c>
      <c r="G712" t="str">
        <f t="shared" si="79"/>
        <v>Oudgasm Tobacco Oud 04-UAE</v>
      </c>
      <c r="H712">
        <f t="shared" si="80"/>
        <v>1294</v>
      </c>
      <c r="I712">
        <f>VLOOKUP(G712,Table4[[SKU-COUNTRY2]:[Price in USD]],2,FALSE)</f>
        <v>148.77000000000001</v>
      </c>
      <c r="J712">
        <f>VLOOKUP(G712,Sheet3!$C$82:$I$100,MATCH(E712,Sheet3!C$82:H$82,0),FALSE) * VLOOKUP(C712,Table8[],2,0)</f>
        <v>192500.00000000003</v>
      </c>
      <c r="K712">
        <f>ROUND(J712*VLOOKUP(F712,Sheet3!$A$106:$C$111,2,FALSE),0)</f>
        <v>67375</v>
      </c>
      <c r="L712">
        <f t="shared" si="77"/>
        <v>125125.00000000003</v>
      </c>
      <c r="M712">
        <f t="shared" si="78"/>
        <v>65</v>
      </c>
      <c r="N712" t="str">
        <f t="shared" si="81"/>
        <v>No</v>
      </c>
      <c r="O712">
        <f t="shared" si="82"/>
        <v>0</v>
      </c>
      <c r="P712" t="str">
        <f t="shared" si="83"/>
        <v>None</v>
      </c>
      <c r="Q712" t="s">
        <v>124</v>
      </c>
    </row>
    <row r="713" spans="1:17" x14ac:dyDescent="0.3">
      <c r="A713">
        <v>712</v>
      </c>
      <c r="B713" t="s">
        <v>24</v>
      </c>
      <c r="C713" s="1">
        <v>45931</v>
      </c>
      <c r="D713" t="s">
        <v>29</v>
      </c>
      <c r="E713" t="s">
        <v>33</v>
      </c>
      <c r="F713" s="2" t="s">
        <v>38</v>
      </c>
      <c r="G713" t="str">
        <f t="shared" si="79"/>
        <v>Yum Pistachio Gelato 33-UAE</v>
      </c>
      <c r="H713">
        <f t="shared" si="80"/>
        <v>582</v>
      </c>
      <c r="I713">
        <f>VLOOKUP(G713,Table4[[SKU-COUNTRY2]:[Price in USD]],2,FALSE)</f>
        <v>113.4</v>
      </c>
      <c r="J713">
        <f>VLOOKUP(G713,Sheet3!$C$82:$I$100,MATCH(E713,Sheet3!C$82:H$82,0),FALSE) * VLOOKUP(C713,Table8[],2,0)</f>
        <v>66000</v>
      </c>
      <c r="K713">
        <f>ROUND(J713*VLOOKUP(F713,Sheet3!$A$106:$C$111,2,FALSE),0)</f>
        <v>20460</v>
      </c>
      <c r="L713">
        <f t="shared" si="77"/>
        <v>45540</v>
      </c>
      <c r="M713">
        <f t="shared" si="78"/>
        <v>69</v>
      </c>
      <c r="N713" t="str">
        <f t="shared" si="81"/>
        <v>No</v>
      </c>
      <c r="O713">
        <f t="shared" si="82"/>
        <v>0</v>
      </c>
      <c r="P713" t="str">
        <f t="shared" si="83"/>
        <v>None</v>
      </c>
      <c r="Q713" t="s">
        <v>124</v>
      </c>
    </row>
    <row r="714" spans="1:17" x14ac:dyDescent="0.3">
      <c r="A714">
        <v>713</v>
      </c>
      <c r="B714" t="s">
        <v>24</v>
      </c>
      <c r="C714" s="1">
        <v>45931</v>
      </c>
      <c r="D714" t="s">
        <v>29</v>
      </c>
      <c r="E714" t="s">
        <v>33</v>
      </c>
      <c r="F714" s="2" t="s">
        <v>39</v>
      </c>
      <c r="G714" t="str">
        <f t="shared" si="79"/>
        <v>Freedom Musk Santal 34-UAE</v>
      </c>
      <c r="H714">
        <f t="shared" si="80"/>
        <v>485</v>
      </c>
      <c r="I714">
        <f>VLOOKUP(G714,Table4[[SKU-COUNTRY2]:[Price in USD]],2,FALSE)</f>
        <v>113.4</v>
      </c>
      <c r="J714">
        <f>VLOOKUP(G714,Sheet3!$C$82:$I$100,MATCH(E714,Sheet3!C$82:H$82,0),FALSE) * VLOOKUP(C714,Table8[],2,0)</f>
        <v>55000.000000000007</v>
      </c>
      <c r="K714">
        <f>ROUND(J714*VLOOKUP(F714,Sheet3!$A$106:$C$111,2,FALSE),0)</f>
        <v>17600</v>
      </c>
      <c r="L714">
        <f t="shared" si="77"/>
        <v>37400.000000000007</v>
      </c>
      <c r="M714">
        <f t="shared" si="78"/>
        <v>68</v>
      </c>
      <c r="N714" t="str">
        <f t="shared" si="81"/>
        <v>No</v>
      </c>
      <c r="O714">
        <f t="shared" si="82"/>
        <v>0</v>
      </c>
      <c r="P714" t="str">
        <f t="shared" si="83"/>
        <v>None</v>
      </c>
      <c r="Q714" t="s">
        <v>124</v>
      </c>
    </row>
    <row r="715" spans="1:17" x14ac:dyDescent="0.3">
      <c r="A715">
        <v>714</v>
      </c>
      <c r="B715" t="s">
        <v>24</v>
      </c>
      <c r="C715" s="1">
        <v>45931</v>
      </c>
      <c r="D715" t="s">
        <v>29</v>
      </c>
      <c r="E715" t="s">
        <v>33</v>
      </c>
      <c r="F715" s="2" t="s">
        <v>40</v>
      </c>
      <c r="G715" t="str">
        <f t="shared" si="79"/>
        <v>Musk 12-UAE</v>
      </c>
      <c r="H715">
        <f t="shared" si="80"/>
        <v>388</v>
      </c>
      <c r="I715">
        <f>VLOOKUP(G715,Table4[[SKU-COUNTRY2]:[Price in USD]],2,FALSE)</f>
        <v>113.4</v>
      </c>
      <c r="J715">
        <f>VLOOKUP(G715,Sheet3!$C$82:$I$100,MATCH(E715,Sheet3!C$82:H$82,0),FALSE) * VLOOKUP(C715,Table8[],2,0)</f>
        <v>44000</v>
      </c>
      <c r="K715">
        <f>ROUND(J715*VLOOKUP(F715,Sheet3!$A$106:$C$111,2,FALSE),0)</f>
        <v>13200</v>
      </c>
      <c r="L715">
        <f t="shared" si="77"/>
        <v>30800</v>
      </c>
      <c r="M715">
        <f t="shared" si="78"/>
        <v>70</v>
      </c>
      <c r="N715" t="str">
        <f t="shared" si="81"/>
        <v>No</v>
      </c>
      <c r="O715">
        <f t="shared" si="82"/>
        <v>0</v>
      </c>
      <c r="P715" t="str">
        <f t="shared" si="83"/>
        <v>None</v>
      </c>
      <c r="Q715" t="s">
        <v>124</v>
      </c>
    </row>
    <row r="716" spans="1:17" x14ac:dyDescent="0.3">
      <c r="A716">
        <v>715</v>
      </c>
      <c r="B716" t="s">
        <v>24</v>
      </c>
      <c r="C716" s="1">
        <v>45931</v>
      </c>
      <c r="D716" t="s">
        <v>29</v>
      </c>
      <c r="E716" t="s">
        <v>34</v>
      </c>
      <c r="F716" s="2" t="s">
        <v>35</v>
      </c>
      <c r="G716" t="str">
        <f t="shared" si="79"/>
        <v>Vanilla 28-UAE</v>
      </c>
      <c r="H716">
        <f t="shared" si="80"/>
        <v>485</v>
      </c>
      <c r="I716">
        <f>VLOOKUP(G716,Table4[[SKU-COUNTRY2]:[Price in USD]],2,FALSE)</f>
        <v>113.4</v>
      </c>
      <c r="J716">
        <f>VLOOKUP(G716,Sheet3!$C$82:$I$100,MATCH(E716,Sheet3!C$82:H$82,0),FALSE) * VLOOKUP(C716,Table8[],2,0)</f>
        <v>55000.000000000007</v>
      </c>
      <c r="K716">
        <f>ROUND(J716*VLOOKUP(F716,Sheet3!$A$106:$C$111,2,FALSE),0)</f>
        <v>16500</v>
      </c>
      <c r="L716">
        <f t="shared" si="77"/>
        <v>38500.000000000007</v>
      </c>
      <c r="M716">
        <f t="shared" si="78"/>
        <v>70</v>
      </c>
      <c r="N716" t="str">
        <f t="shared" si="81"/>
        <v>No</v>
      </c>
      <c r="O716">
        <f t="shared" si="82"/>
        <v>0</v>
      </c>
      <c r="P716" t="str">
        <f t="shared" si="83"/>
        <v>None</v>
      </c>
      <c r="Q716" t="s">
        <v>124</v>
      </c>
    </row>
    <row r="717" spans="1:17" x14ac:dyDescent="0.3">
      <c r="A717">
        <v>716</v>
      </c>
      <c r="B717" t="s">
        <v>24</v>
      </c>
      <c r="C717" s="1">
        <v>45931</v>
      </c>
      <c r="D717" t="s">
        <v>29</v>
      </c>
      <c r="E717" t="s">
        <v>34</v>
      </c>
      <c r="F717" s="2" t="s">
        <v>36</v>
      </c>
      <c r="G717" t="str">
        <f t="shared" si="79"/>
        <v>Eden Juicy Apple 01-UAE</v>
      </c>
      <c r="H717">
        <f t="shared" si="80"/>
        <v>364</v>
      </c>
      <c r="I717">
        <f>VLOOKUP(G717,Table4[[SKU-COUNTRY2]:[Price in USD]],2,FALSE)</f>
        <v>113.4</v>
      </c>
      <c r="J717">
        <f>VLOOKUP(G717,Sheet3!$C$82:$I$100,MATCH(E717,Sheet3!C$82:H$82,0),FALSE) * VLOOKUP(C717,Table8[],2,0)</f>
        <v>41250</v>
      </c>
      <c r="K717">
        <f>ROUND(J717*VLOOKUP(F717,Sheet3!$A$106:$C$111,2,FALSE),0)</f>
        <v>12788</v>
      </c>
      <c r="L717">
        <f t="shared" si="77"/>
        <v>28462</v>
      </c>
      <c r="M717">
        <f t="shared" si="78"/>
        <v>69</v>
      </c>
      <c r="N717" t="str">
        <f t="shared" si="81"/>
        <v>No</v>
      </c>
      <c r="O717">
        <f t="shared" si="82"/>
        <v>0</v>
      </c>
      <c r="P717" t="str">
        <f t="shared" si="83"/>
        <v>None</v>
      </c>
      <c r="Q717" t="s">
        <v>124</v>
      </c>
    </row>
    <row r="718" spans="1:17" x14ac:dyDescent="0.3">
      <c r="A718">
        <v>717</v>
      </c>
      <c r="B718" t="s">
        <v>24</v>
      </c>
      <c r="C718" s="1">
        <v>45931</v>
      </c>
      <c r="D718" t="s">
        <v>29</v>
      </c>
      <c r="E718" t="s">
        <v>34</v>
      </c>
      <c r="F718" s="2" t="s">
        <v>37</v>
      </c>
      <c r="G718" t="str">
        <f t="shared" si="79"/>
        <v>Oudgasm Tobacco Oud 04-UAE</v>
      </c>
      <c r="H718">
        <f t="shared" si="80"/>
        <v>647</v>
      </c>
      <c r="I718">
        <f>VLOOKUP(G718,Table4[[SKU-COUNTRY2]:[Price in USD]],2,FALSE)</f>
        <v>148.77000000000001</v>
      </c>
      <c r="J718">
        <f>VLOOKUP(G718,Sheet3!$C$82:$I$100,MATCH(E718,Sheet3!C$82:H$82,0),FALSE) * VLOOKUP(C718,Table8[],2,0)</f>
        <v>96250.000000000015</v>
      </c>
      <c r="K718">
        <f>ROUND(J718*VLOOKUP(F718,Sheet3!$A$106:$C$111,2,FALSE),0)</f>
        <v>33688</v>
      </c>
      <c r="L718">
        <f t="shared" si="77"/>
        <v>62562.000000000015</v>
      </c>
      <c r="M718">
        <f t="shared" si="78"/>
        <v>65</v>
      </c>
      <c r="N718" t="str">
        <f t="shared" si="81"/>
        <v>No</v>
      </c>
      <c r="O718">
        <f t="shared" si="82"/>
        <v>0</v>
      </c>
      <c r="P718" t="str">
        <f t="shared" si="83"/>
        <v>None</v>
      </c>
      <c r="Q718" t="s">
        <v>124</v>
      </c>
    </row>
    <row r="719" spans="1:17" x14ac:dyDescent="0.3">
      <c r="A719">
        <v>718</v>
      </c>
      <c r="B719" t="s">
        <v>24</v>
      </c>
      <c r="C719" s="1">
        <v>45931</v>
      </c>
      <c r="D719" t="s">
        <v>29</v>
      </c>
      <c r="E719" t="s">
        <v>34</v>
      </c>
      <c r="F719" s="2" t="s">
        <v>38</v>
      </c>
      <c r="G719" t="str">
        <f t="shared" si="79"/>
        <v>Yum Pistachio Gelato 33-UAE</v>
      </c>
      <c r="H719">
        <f t="shared" si="80"/>
        <v>291</v>
      </c>
      <c r="I719">
        <f>VLOOKUP(G719,Table4[[SKU-COUNTRY2]:[Price in USD]],2,FALSE)</f>
        <v>113.4</v>
      </c>
      <c r="J719">
        <f>VLOOKUP(G719,Sheet3!$C$82:$I$100,MATCH(E719,Sheet3!C$82:H$82,0),FALSE) * VLOOKUP(C719,Table8[],2,0)</f>
        <v>33000</v>
      </c>
      <c r="K719">
        <f>ROUND(J719*VLOOKUP(F719,Sheet3!$A$106:$C$111,2,FALSE),0)</f>
        <v>10230</v>
      </c>
      <c r="L719">
        <f t="shared" si="77"/>
        <v>22770</v>
      </c>
      <c r="M719">
        <f t="shared" si="78"/>
        <v>69</v>
      </c>
      <c r="N719" t="str">
        <f t="shared" si="81"/>
        <v>No</v>
      </c>
      <c r="O719">
        <f t="shared" si="82"/>
        <v>0</v>
      </c>
      <c r="P719" t="str">
        <f t="shared" si="83"/>
        <v>None</v>
      </c>
      <c r="Q719" t="s">
        <v>124</v>
      </c>
    </row>
    <row r="720" spans="1:17" x14ac:dyDescent="0.3">
      <c r="A720">
        <v>719</v>
      </c>
      <c r="B720" t="s">
        <v>24</v>
      </c>
      <c r="C720" s="1">
        <v>45931</v>
      </c>
      <c r="D720" t="s">
        <v>29</v>
      </c>
      <c r="E720" t="s">
        <v>34</v>
      </c>
      <c r="F720" s="2" t="s">
        <v>39</v>
      </c>
      <c r="G720" t="str">
        <f t="shared" si="79"/>
        <v>Freedom Musk Santal 34-UAE</v>
      </c>
      <c r="H720">
        <f t="shared" si="80"/>
        <v>243</v>
      </c>
      <c r="I720">
        <f>VLOOKUP(G720,Table4[[SKU-COUNTRY2]:[Price in USD]],2,FALSE)</f>
        <v>113.4</v>
      </c>
      <c r="J720">
        <f>VLOOKUP(G720,Sheet3!$C$82:$I$100,MATCH(E720,Sheet3!C$82:H$82,0),FALSE) * VLOOKUP(C720,Table8[],2,0)</f>
        <v>27500.000000000004</v>
      </c>
      <c r="K720">
        <f>ROUND(J720*VLOOKUP(F720,Sheet3!$A$106:$C$111,2,FALSE),0)</f>
        <v>8800</v>
      </c>
      <c r="L720">
        <f t="shared" si="77"/>
        <v>18700.000000000004</v>
      </c>
      <c r="M720">
        <f t="shared" si="78"/>
        <v>68</v>
      </c>
      <c r="N720" t="str">
        <f t="shared" si="81"/>
        <v>No</v>
      </c>
      <c r="O720">
        <f t="shared" si="82"/>
        <v>0</v>
      </c>
      <c r="P720" t="str">
        <f t="shared" si="83"/>
        <v>None</v>
      </c>
      <c r="Q720" t="s">
        <v>124</v>
      </c>
    </row>
    <row r="721" spans="1:17" x14ac:dyDescent="0.3">
      <c r="A721">
        <v>720</v>
      </c>
      <c r="B721" t="s">
        <v>24</v>
      </c>
      <c r="C721" s="1">
        <v>45931</v>
      </c>
      <c r="D721" t="s">
        <v>29</v>
      </c>
      <c r="E721" t="s">
        <v>34</v>
      </c>
      <c r="F721" s="2" t="s">
        <v>40</v>
      </c>
      <c r="G721" t="str">
        <f t="shared" si="79"/>
        <v>Musk 12-UAE</v>
      </c>
      <c r="H721">
        <f t="shared" si="80"/>
        <v>194</v>
      </c>
      <c r="I721">
        <f>VLOOKUP(G721,Table4[[SKU-COUNTRY2]:[Price in USD]],2,FALSE)</f>
        <v>113.4</v>
      </c>
      <c r="J721">
        <f>VLOOKUP(G721,Sheet3!$C$82:$I$100,MATCH(E721,Sheet3!C$82:H$82,0),FALSE) * VLOOKUP(C721,Table8[],2,0)</f>
        <v>22000</v>
      </c>
      <c r="K721">
        <f>ROUND(J721*VLOOKUP(F721,Sheet3!$A$106:$C$111,2,FALSE),0)</f>
        <v>6600</v>
      </c>
      <c r="L721">
        <f t="shared" si="77"/>
        <v>15400</v>
      </c>
      <c r="M721">
        <f t="shared" si="78"/>
        <v>70</v>
      </c>
      <c r="N721" t="str">
        <f t="shared" si="81"/>
        <v>No</v>
      </c>
      <c r="O721">
        <f t="shared" si="82"/>
        <v>0</v>
      </c>
      <c r="P721" t="str">
        <f t="shared" si="83"/>
        <v>None</v>
      </c>
      <c r="Q721" t="s">
        <v>124</v>
      </c>
    </row>
    <row r="722" spans="1:17" x14ac:dyDescent="0.3">
      <c r="A722">
        <v>721</v>
      </c>
      <c r="B722" t="s">
        <v>25</v>
      </c>
      <c r="C722" s="1">
        <v>45962</v>
      </c>
      <c r="D722" t="s">
        <v>28</v>
      </c>
      <c r="E722" t="s">
        <v>32</v>
      </c>
      <c r="F722" s="2" t="s">
        <v>35</v>
      </c>
      <c r="G722" t="str">
        <f t="shared" si="79"/>
        <v>Vanilla 28-USA</v>
      </c>
      <c r="H722">
        <f t="shared" si="80"/>
        <v>35933</v>
      </c>
      <c r="I722">
        <f>VLOOKUP(G722,Table4[[SKU-COUNTRY2]:[Price in USD]],2,FALSE)</f>
        <v>105</v>
      </c>
      <c r="J722">
        <f>VLOOKUP(G722,Sheet3!$C$82:$I$100,MATCH(E722,Sheet3!C$82:H$82,0),FALSE) * VLOOKUP(C722,Table8[],2,0)</f>
        <v>3772999.9999999995</v>
      </c>
      <c r="K722">
        <f>ROUND(J722*VLOOKUP(F722,Sheet3!$A$106:$C$111,2,FALSE),0)</f>
        <v>1131900</v>
      </c>
      <c r="L722">
        <f t="shared" si="77"/>
        <v>2641099.9999999995</v>
      </c>
      <c r="M722">
        <f t="shared" si="78"/>
        <v>70</v>
      </c>
      <c r="N722" t="str">
        <f t="shared" si="81"/>
        <v>Yes</v>
      </c>
      <c r="O722">
        <f t="shared" si="82"/>
        <v>25</v>
      </c>
      <c r="P722" t="str">
        <f t="shared" si="83"/>
        <v>Black Friday</v>
      </c>
      <c r="Q722" t="s">
        <v>124</v>
      </c>
    </row>
    <row r="723" spans="1:17" x14ac:dyDescent="0.3">
      <c r="A723">
        <v>722</v>
      </c>
      <c r="B723" t="s">
        <v>25</v>
      </c>
      <c r="C723" s="1">
        <v>45962</v>
      </c>
      <c r="D723" t="s">
        <v>28</v>
      </c>
      <c r="E723" t="s">
        <v>32</v>
      </c>
      <c r="F723" s="2" t="s">
        <v>36</v>
      </c>
      <c r="G723" t="str">
        <f t="shared" si="79"/>
        <v>Eden Juicy Apple 01-USA</v>
      </c>
      <c r="H723">
        <f t="shared" si="80"/>
        <v>20533</v>
      </c>
      <c r="I723">
        <f>VLOOKUP(G723,Table4[[SKU-COUNTRY2]:[Price in USD]],2,FALSE)</f>
        <v>105</v>
      </c>
      <c r="J723">
        <f>VLOOKUP(G723,Sheet3!$C$82:$I$100,MATCH(E723,Sheet3!C$82:H$82,0),FALSE) * VLOOKUP(C723,Table8[],2,0)</f>
        <v>2156000</v>
      </c>
      <c r="K723">
        <f>ROUND(J723*VLOOKUP(F723,Sheet3!$A$106:$C$111,2,FALSE),0)</f>
        <v>668360</v>
      </c>
      <c r="L723">
        <f t="shared" si="77"/>
        <v>1487640</v>
      </c>
      <c r="M723">
        <f t="shared" si="78"/>
        <v>69</v>
      </c>
      <c r="N723" t="str">
        <f t="shared" si="81"/>
        <v>Yes</v>
      </c>
      <c r="O723">
        <f t="shared" si="82"/>
        <v>25</v>
      </c>
      <c r="P723" t="str">
        <f t="shared" si="83"/>
        <v>Black Friday</v>
      </c>
      <c r="Q723" t="s">
        <v>124</v>
      </c>
    </row>
    <row r="724" spans="1:17" x14ac:dyDescent="0.3">
      <c r="A724">
        <v>723</v>
      </c>
      <c r="B724" t="s">
        <v>25</v>
      </c>
      <c r="C724" s="1">
        <v>45962</v>
      </c>
      <c r="D724" t="s">
        <v>28</v>
      </c>
      <c r="E724" t="s">
        <v>32</v>
      </c>
      <c r="F724" s="2" t="s">
        <v>37</v>
      </c>
      <c r="G724" t="str">
        <f t="shared" si="79"/>
        <v>Oudgasm Tobacco Oud 04-USA</v>
      </c>
      <c r="H724">
        <f t="shared" si="80"/>
        <v>13860</v>
      </c>
      <c r="I724">
        <f>VLOOKUP(G724,Table4[[SKU-COUNTRY2]:[Price in USD]],2,FALSE)</f>
        <v>140</v>
      </c>
      <c r="J724">
        <f>VLOOKUP(G724,Sheet3!$C$82:$I$100,MATCH(E724,Sheet3!C$82:H$82,0),FALSE) * VLOOKUP(C724,Table8[],2,0)</f>
        <v>1940399.9999999998</v>
      </c>
      <c r="K724">
        <f>ROUND(J724*VLOOKUP(F724,Sheet3!$A$106:$C$111,2,FALSE),0)</f>
        <v>679140</v>
      </c>
      <c r="L724">
        <f t="shared" si="77"/>
        <v>1261259.9999999998</v>
      </c>
      <c r="M724">
        <f t="shared" si="78"/>
        <v>65</v>
      </c>
      <c r="N724" t="str">
        <f t="shared" si="81"/>
        <v>Yes</v>
      </c>
      <c r="O724">
        <f t="shared" si="82"/>
        <v>25</v>
      </c>
      <c r="P724" t="str">
        <f t="shared" si="83"/>
        <v>Black Friday</v>
      </c>
      <c r="Q724" t="s">
        <v>124</v>
      </c>
    </row>
    <row r="725" spans="1:17" x14ac:dyDescent="0.3">
      <c r="A725">
        <v>724</v>
      </c>
      <c r="B725" t="s">
        <v>25</v>
      </c>
      <c r="C725" s="1">
        <v>45962</v>
      </c>
      <c r="D725" t="s">
        <v>28</v>
      </c>
      <c r="E725" t="s">
        <v>32</v>
      </c>
      <c r="F725" s="2" t="s">
        <v>38</v>
      </c>
      <c r="G725" t="str">
        <f t="shared" si="79"/>
        <v>Yum Pistachio Gelato 33-USA</v>
      </c>
      <c r="H725">
        <f t="shared" si="80"/>
        <v>12320</v>
      </c>
      <c r="I725">
        <f>VLOOKUP(G725,Table4[[SKU-COUNTRY2]:[Price in USD]],2,FALSE)</f>
        <v>105</v>
      </c>
      <c r="J725">
        <f>VLOOKUP(G725,Sheet3!$C$82:$I$100,MATCH(E725,Sheet3!C$82:H$82,0),FALSE) * VLOOKUP(C725,Table8[],2,0)</f>
        <v>1293600</v>
      </c>
      <c r="K725">
        <f>ROUND(J725*VLOOKUP(F725,Sheet3!$A$106:$C$111,2,FALSE),0)</f>
        <v>401016</v>
      </c>
      <c r="L725">
        <f t="shared" si="77"/>
        <v>892584</v>
      </c>
      <c r="M725">
        <f t="shared" si="78"/>
        <v>69</v>
      </c>
      <c r="N725" t="str">
        <f t="shared" si="81"/>
        <v>Yes</v>
      </c>
      <c r="O725">
        <f t="shared" si="82"/>
        <v>25</v>
      </c>
      <c r="P725" t="str">
        <f t="shared" si="83"/>
        <v>Black Friday</v>
      </c>
      <c r="Q725" t="s">
        <v>124</v>
      </c>
    </row>
    <row r="726" spans="1:17" x14ac:dyDescent="0.3">
      <c r="A726">
        <v>725</v>
      </c>
      <c r="B726" t="s">
        <v>25</v>
      </c>
      <c r="C726" s="1">
        <v>45962</v>
      </c>
      <c r="D726" t="s">
        <v>28</v>
      </c>
      <c r="E726" t="s">
        <v>32</v>
      </c>
      <c r="F726" s="2" t="s">
        <v>39</v>
      </c>
      <c r="G726" t="str">
        <f t="shared" si="79"/>
        <v>Freedom Musk Santal 34-USA</v>
      </c>
      <c r="H726">
        <f t="shared" si="80"/>
        <v>10267</v>
      </c>
      <c r="I726">
        <f>VLOOKUP(G726,Table4[[SKU-COUNTRY2]:[Price in USD]],2,FALSE)</f>
        <v>105</v>
      </c>
      <c r="J726">
        <f>VLOOKUP(G726,Sheet3!$C$82:$I$100,MATCH(E726,Sheet3!C$82:H$82,0),FALSE) * VLOOKUP(C726,Table8[],2,0)</f>
        <v>1078000</v>
      </c>
      <c r="K726">
        <f>ROUND(J726*VLOOKUP(F726,Sheet3!$A$106:$C$111,2,FALSE),0)</f>
        <v>344960</v>
      </c>
      <c r="L726">
        <f t="shared" si="77"/>
        <v>733040</v>
      </c>
      <c r="M726">
        <f t="shared" si="78"/>
        <v>68</v>
      </c>
      <c r="N726" t="str">
        <f t="shared" si="81"/>
        <v>Yes</v>
      </c>
      <c r="O726">
        <f t="shared" si="82"/>
        <v>25</v>
      </c>
      <c r="P726" t="str">
        <f t="shared" si="83"/>
        <v>Black Friday</v>
      </c>
      <c r="Q726" t="s">
        <v>124</v>
      </c>
    </row>
    <row r="727" spans="1:17" x14ac:dyDescent="0.3">
      <c r="A727">
        <v>726</v>
      </c>
      <c r="B727" t="s">
        <v>25</v>
      </c>
      <c r="C727" s="1">
        <v>45962</v>
      </c>
      <c r="D727" t="s">
        <v>28</v>
      </c>
      <c r="E727" t="s">
        <v>32</v>
      </c>
      <c r="F727" s="2" t="s">
        <v>40</v>
      </c>
      <c r="G727" t="str">
        <f t="shared" si="79"/>
        <v>Musk 12-USA</v>
      </c>
      <c r="H727">
        <f t="shared" si="80"/>
        <v>5133</v>
      </c>
      <c r="I727">
        <f>VLOOKUP(G727,Table4[[SKU-COUNTRY2]:[Price in USD]],2,FALSE)</f>
        <v>105</v>
      </c>
      <c r="J727">
        <f>VLOOKUP(G727,Sheet3!$C$82:$I$100,MATCH(E727,Sheet3!C$82:H$82,0),FALSE) * VLOOKUP(C727,Table8[],2,0)</f>
        <v>539000</v>
      </c>
      <c r="K727">
        <f>ROUND(J727*VLOOKUP(F727,Sheet3!$A$106:$C$111,2,FALSE),0)</f>
        <v>161700</v>
      </c>
      <c r="L727">
        <f t="shared" si="77"/>
        <v>377300</v>
      </c>
      <c r="M727">
        <f t="shared" si="78"/>
        <v>70</v>
      </c>
      <c r="N727" t="str">
        <f t="shared" si="81"/>
        <v>Yes</v>
      </c>
      <c r="O727">
        <f t="shared" si="82"/>
        <v>25</v>
      </c>
      <c r="P727" t="str">
        <f t="shared" si="83"/>
        <v>Black Friday</v>
      </c>
      <c r="Q727" t="s">
        <v>124</v>
      </c>
    </row>
    <row r="728" spans="1:17" x14ac:dyDescent="0.3">
      <c r="A728">
        <v>727</v>
      </c>
      <c r="B728" t="s">
        <v>25</v>
      </c>
      <c r="C728" s="1">
        <v>45962</v>
      </c>
      <c r="D728" t="s">
        <v>28</v>
      </c>
      <c r="E728" t="s">
        <v>31</v>
      </c>
      <c r="F728" s="2" t="s">
        <v>35</v>
      </c>
      <c r="G728" t="str">
        <f t="shared" si="79"/>
        <v>Vanilla 28-USA</v>
      </c>
      <c r="H728">
        <f t="shared" si="80"/>
        <v>16333</v>
      </c>
      <c r="I728">
        <f>VLOOKUP(G728,Table4[[SKU-COUNTRY2]:[Price in USD]],2,FALSE)</f>
        <v>105</v>
      </c>
      <c r="J728">
        <f>VLOOKUP(G728,Sheet3!$C$82:$I$100,MATCH(E728,Sheet3!C$82:H$82,0),FALSE) * VLOOKUP(C728,Table8[],2,0)</f>
        <v>1715000</v>
      </c>
      <c r="K728">
        <f>ROUND(J728*VLOOKUP(F728,Sheet3!$A$106:$C$111,2,FALSE),0)</f>
        <v>514500</v>
      </c>
      <c r="L728">
        <f t="shared" si="77"/>
        <v>1200500</v>
      </c>
      <c r="M728">
        <f t="shared" si="78"/>
        <v>70</v>
      </c>
      <c r="N728" t="str">
        <f t="shared" si="81"/>
        <v>Yes</v>
      </c>
      <c r="O728">
        <f t="shared" si="82"/>
        <v>25</v>
      </c>
      <c r="P728" t="str">
        <f t="shared" si="83"/>
        <v>Black Friday</v>
      </c>
      <c r="Q728" t="s">
        <v>124</v>
      </c>
    </row>
    <row r="729" spans="1:17" x14ac:dyDescent="0.3">
      <c r="A729">
        <v>728</v>
      </c>
      <c r="B729" t="s">
        <v>25</v>
      </c>
      <c r="C729" s="1">
        <v>45962</v>
      </c>
      <c r="D729" t="s">
        <v>28</v>
      </c>
      <c r="E729" t="s">
        <v>31</v>
      </c>
      <c r="F729" s="2" t="s">
        <v>36</v>
      </c>
      <c r="G729" t="str">
        <f t="shared" si="79"/>
        <v>Eden Juicy Apple 01-USA</v>
      </c>
      <c r="H729">
        <f t="shared" si="80"/>
        <v>9333</v>
      </c>
      <c r="I729">
        <f>VLOOKUP(G729,Table4[[SKU-COUNTRY2]:[Price in USD]],2,FALSE)</f>
        <v>105</v>
      </c>
      <c r="J729">
        <f>VLOOKUP(G729,Sheet3!$C$82:$I$100,MATCH(E729,Sheet3!C$82:H$82,0),FALSE) * VLOOKUP(C729,Table8[],2,0)</f>
        <v>979999.99999999988</v>
      </c>
      <c r="K729">
        <f>ROUND(J729*VLOOKUP(F729,Sheet3!$A$106:$C$111,2,FALSE),0)</f>
        <v>303800</v>
      </c>
      <c r="L729">
        <f t="shared" si="77"/>
        <v>676199.99999999988</v>
      </c>
      <c r="M729">
        <f t="shared" si="78"/>
        <v>69</v>
      </c>
      <c r="N729" t="str">
        <f t="shared" si="81"/>
        <v>Yes</v>
      </c>
      <c r="O729">
        <f t="shared" si="82"/>
        <v>25</v>
      </c>
      <c r="P729" t="str">
        <f t="shared" si="83"/>
        <v>Black Friday</v>
      </c>
      <c r="Q729" t="s">
        <v>124</v>
      </c>
    </row>
    <row r="730" spans="1:17" x14ac:dyDescent="0.3">
      <c r="A730">
        <v>729</v>
      </c>
      <c r="B730" t="s">
        <v>25</v>
      </c>
      <c r="C730" s="1">
        <v>45962</v>
      </c>
      <c r="D730" t="s">
        <v>28</v>
      </c>
      <c r="E730" t="s">
        <v>31</v>
      </c>
      <c r="F730" s="2" t="s">
        <v>37</v>
      </c>
      <c r="G730" t="str">
        <f t="shared" si="79"/>
        <v>Oudgasm Tobacco Oud 04-USA</v>
      </c>
      <c r="H730">
        <f t="shared" si="80"/>
        <v>6300</v>
      </c>
      <c r="I730">
        <f>VLOOKUP(G730,Table4[[SKU-COUNTRY2]:[Price in USD]],2,FALSE)</f>
        <v>140</v>
      </c>
      <c r="J730">
        <f>VLOOKUP(G730,Sheet3!$C$82:$I$100,MATCH(E730,Sheet3!C$82:H$82,0),FALSE) * VLOOKUP(C730,Table8[],2,0)</f>
        <v>882000</v>
      </c>
      <c r="K730">
        <f>ROUND(J730*VLOOKUP(F730,Sheet3!$A$106:$C$111,2,FALSE),0)</f>
        <v>308700</v>
      </c>
      <c r="L730">
        <f t="shared" si="77"/>
        <v>573300</v>
      </c>
      <c r="M730">
        <f t="shared" si="78"/>
        <v>65</v>
      </c>
      <c r="N730" t="str">
        <f t="shared" si="81"/>
        <v>Yes</v>
      </c>
      <c r="O730">
        <f t="shared" si="82"/>
        <v>25</v>
      </c>
      <c r="P730" t="str">
        <f t="shared" si="83"/>
        <v>Black Friday</v>
      </c>
      <c r="Q730" t="s">
        <v>124</v>
      </c>
    </row>
    <row r="731" spans="1:17" x14ac:dyDescent="0.3">
      <c r="A731">
        <v>730</v>
      </c>
      <c r="B731" t="s">
        <v>25</v>
      </c>
      <c r="C731" s="1">
        <v>45962</v>
      </c>
      <c r="D731" t="s">
        <v>28</v>
      </c>
      <c r="E731" t="s">
        <v>31</v>
      </c>
      <c r="F731" s="2" t="s">
        <v>38</v>
      </c>
      <c r="G731" t="str">
        <f t="shared" si="79"/>
        <v>Yum Pistachio Gelato 33-USA</v>
      </c>
      <c r="H731">
        <f t="shared" si="80"/>
        <v>5600</v>
      </c>
      <c r="I731">
        <f>VLOOKUP(G731,Table4[[SKU-COUNTRY2]:[Price in USD]],2,FALSE)</f>
        <v>105</v>
      </c>
      <c r="J731">
        <f>VLOOKUP(G731,Sheet3!$C$82:$I$100,MATCH(E731,Sheet3!C$82:H$82,0),FALSE) * VLOOKUP(C731,Table8[],2,0)</f>
        <v>588000</v>
      </c>
      <c r="K731">
        <f>ROUND(J731*VLOOKUP(F731,Sheet3!$A$106:$C$111,2,FALSE),0)</f>
        <v>182280</v>
      </c>
      <c r="L731">
        <f t="shared" si="77"/>
        <v>405720</v>
      </c>
      <c r="M731">
        <f t="shared" si="78"/>
        <v>69</v>
      </c>
      <c r="N731" t="str">
        <f t="shared" si="81"/>
        <v>Yes</v>
      </c>
      <c r="O731">
        <f t="shared" si="82"/>
        <v>25</v>
      </c>
      <c r="P731" t="str">
        <f t="shared" si="83"/>
        <v>Black Friday</v>
      </c>
      <c r="Q731" t="s">
        <v>124</v>
      </c>
    </row>
    <row r="732" spans="1:17" x14ac:dyDescent="0.3">
      <c r="A732">
        <v>731</v>
      </c>
      <c r="B732" t="s">
        <v>25</v>
      </c>
      <c r="C732" s="1">
        <v>45962</v>
      </c>
      <c r="D732" t="s">
        <v>28</v>
      </c>
      <c r="E732" t="s">
        <v>31</v>
      </c>
      <c r="F732" s="2" t="s">
        <v>39</v>
      </c>
      <c r="G732" t="str">
        <f t="shared" si="79"/>
        <v>Freedom Musk Santal 34-USA</v>
      </c>
      <c r="H732">
        <f t="shared" si="80"/>
        <v>4667</v>
      </c>
      <c r="I732">
        <f>VLOOKUP(G732,Table4[[SKU-COUNTRY2]:[Price in USD]],2,FALSE)</f>
        <v>105</v>
      </c>
      <c r="J732">
        <f>VLOOKUP(G732,Sheet3!$C$82:$I$100,MATCH(E732,Sheet3!C$82:H$82,0),FALSE) * VLOOKUP(C732,Table8[],2,0)</f>
        <v>489999.99999999994</v>
      </c>
      <c r="K732">
        <f>ROUND(J732*VLOOKUP(F732,Sheet3!$A$106:$C$111,2,FALSE),0)</f>
        <v>156800</v>
      </c>
      <c r="L732">
        <f t="shared" si="77"/>
        <v>333199.99999999994</v>
      </c>
      <c r="M732">
        <f t="shared" si="78"/>
        <v>68</v>
      </c>
      <c r="N732" t="str">
        <f t="shared" si="81"/>
        <v>Yes</v>
      </c>
      <c r="O732">
        <f t="shared" si="82"/>
        <v>25</v>
      </c>
      <c r="P732" t="str">
        <f t="shared" si="83"/>
        <v>Black Friday</v>
      </c>
      <c r="Q732" t="s">
        <v>124</v>
      </c>
    </row>
    <row r="733" spans="1:17" x14ac:dyDescent="0.3">
      <c r="A733">
        <v>732</v>
      </c>
      <c r="B733" t="s">
        <v>25</v>
      </c>
      <c r="C733" s="1">
        <v>45962</v>
      </c>
      <c r="D733" t="s">
        <v>28</v>
      </c>
      <c r="E733" t="s">
        <v>31</v>
      </c>
      <c r="F733" s="2" t="s">
        <v>40</v>
      </c>
      <c r="G733" t="str">
        <f t="shared" si="79"/>
        <v>Musk 12-USA</v>
      </c>
      <c r="H733">
        <f t="shared" si="80"/>
        <v>2333</v>
      </c>
      <c r="I733">
        <f>VLOOKUP(G733,Table4[[SKU-COUNTRY2]:[Price in USD]],2,FALSE)</f>
        <v>105</v>
      </c>
      <c r="J733">
        <f>VLOOKUP(G733,Sheet3!$C$82:$I$100,MATCH(E733,Sheet3!C$82:H$82,0),FALSE) * VLOOKUP(C733,Table8[],2,0)</f>
        <v>244999.99999999997</v>
      </c>
      <c r="K733">
        <f>ROUND(J733*VLOOKUP(F733,Sheet3!$A$106:$C$111,2,FALSE),0)</f>
        <v>73500</v>
      </c>
      <c r="L733">
        <f t="shared" si="77"/>
        <v>171499.99999999997</v>
      </c>
      <c r="M733">
        <f t="shared" si="78"/>
        <v>70</v>
      </c>
      <c r="N733" t="str">
        <f t="shared" si="81"/>
        <v>Yes</v>
      </c>
      <c r="O733">
        <f t="shared" si="82"/>
        <v>25</v>
      </c>
      <c r="P733" t="str">
        <f t="shared" si="83"/>
        <v>Black Friday</v>
      </c>
      <c r="Q733" t="s">
        <v>124</v>
      </c>
    </row>
    <row r="734" spans="1:17" x14ac:dyDescent="0.3">
      <c r="A734">
        <v>733</v>
      </c>
      <c r="B734" t="s">
        <v>25</v>
      </c>
      <c r="C734" s="1">
        <v>45962</v>
      </c>
      <c r="D734" t="s">
        <v>28</v>
      </c>
      <c r="E734" t="s">
        <v>33</v>
      </c>
      <c r="F734" s="2" t="s">
        <v>35</v>
      </c>
      <c r="G734" t="str">
        <f t="shared" si="79"/>
        <v>Vanilla 28-USA</v>
      </c>
      <c r="H734">
        <f t="shared" si="80"/>
        <v>7840</v>
      </c>
      <c r="I734">
        <f>VLOOKUP(G734,Table4[[SKU-COUNTRY2]:[Price in USD]],2,FALSE)</f>
        <v>105</v>
      </c>
      <c r="J734">
        <f>VLOOKUP(G734,Sheet3!$C$82:$I$100,MATCH(E734,Sheet3!C$82:H$82,0),FALSE) * VLOOKUP(C734,Table8[],2,0)</f>
        <v>823200</v>
      </c>
      <c r="K734">
        <f>ROUND(J734*VLOOKUP(F734,Sheet3!$A$106:$C$111,2,FALSE),0)</f>
        <v>246960</v>
      </c>
      <c r="L734">
        <f t="shared" si="77"/>
        <v>576240</v>
      </c>
      <c r="M734">
        <f t="shared" si="78"/>
        <v>70</v>
      </c>
      <c r="N734" t="str">
        <f t="shared" si="81"/>
        <v>Yes</v>
      </c>
      <c r="O734">
        <f t="shared" si="82"/>
        <v>25</v>
      </c>
      <c r="P734" t="str">
        <f t="shared" si="83"/>
        <v>Black Friday</v>
      </c>
      <c r="Q734" t="s">
        <v>124</v>
      </c>
    </row>
    <row r="735" spans="1:17" x14ac:dyDescent="0.3">
      <c r="A735">
        <v>734</v>
      </c>
      <c r="B735" t="s">
        <v>25</v>
      </c>
      <c r="C735" s="1">
        <v>45962</v>
      </c>
      <c r="D735" t="s">
        <v>28</v>
      </c>
      <c r="E735" t="s">
        <v>33</v>
      </c>
      <c r="F735" s="2" t="s">
        <v>36</v>
      </c>
      <c r="G735" t="str">
        <f t="shared" si="79"/>
        <v>Eden Juicy Apple 01-USA</v>
      </c>
      <c r="H735">
        <f t="shared" si="80"/>
        <v>4480</v>
      </c>
      <c r="I735">
        <f>VLOOKUP(G735,Table4[[SKU-COUNTRY2]:[Price in USD]],2,FALSE)</f>
        <v>105</v>
      </c>
      <c r="J735">
        <f>VLOOKUP(G735,Sheet3!$C$82:$I$100,MATCH(E735,Sheet3!C$82:H$82,0),FALSE) * VLOOKUP(C735,Table8[],2,0)</f>
        <v>470399.99999999994</v>
      </c>
      <c r="K735">
        <f>ROUND(J735*VLOOKUP(F735,Sheet3!$A$106:$C$111,2,FALSE),0)</f>
        <v>145824</v>
      </c>
      <c r="L735">
        <f t="shared" si="77"/>
        <v>324575.99999999994</v>
      </c>
      <c r="M735">
        <f t="shared" si="78"/>
        <v>69</v>
      </c>
      <c r="N735" t="str">
        <f t="shared" si="81"/>
        <v>Yes</v>
      </c>
      <c r="O735">
        <f t="shared" si="82"/>
        <v>25</v>
      </c>
      <c r="P735" t="str">
        <f t="shared" si="83"/>
        <v>Black Friday</v>
      </c>
      <c r="Q735" t="s">
        <v>124</v>
      </c>
    </row>
    <row r="736" spans="1:17" x14ac:dyDescent="0.3">
      <c r="A736">
        <v>735</v>
      </c>
      <c r="B736" t="s">
        <v>25</v>
      </c>
      <c r="C736" s="1">
        <v>45962</v>
      </c>
      <c r="D736" t="s">
        <v>28</v>
      </c>
      <c r="E736" t="s">
        <v>33</v>
      </c>
      <c r="F736" s="2" t="s">
        <v>37</v>
      </c>
      <c r="G736" t="str">
        <f t="shared" si="79"/>
        <v>Oudgasm Tobacco Oud 04-USA</v>
      </c>
      <c r="H736">
        <f t="shared" si="80"/>
        <v>3024</v>
      </c>
      <c r="I736">
        <f>VLOOKUP(G736,Table4[[SKU-COUNTRY2]:[Price in USD]],2,FALSE)</f>
        <v>140</v>
      </c>
      <c r="J736">
        <f>VLOOKUP(G736,Sheet3!$C$82:$I$100,MATCH(E736,Sheet3!C$82:H$82,0),FALSE) * VLOOKUP(C736,Table8[],2,0)</f>
        <v>423360</v>
      </c>
      <c r="K736">
        <f>ROUND(J736*VLOOKUP(F736,Sheet3!$A$106:$C$111,2,FALSE),0)</f>
        <v>148176</v>
      </c>
      <c r="L736">
        <f t="shared" si="77"/>
        <v>275184</v>
      </c>
      <c r="M736">
        <f t="shared" si="78"/>
        <v>65</v>
      </c>
      <c r="N736" t="str">
        <f t="shared" si="81"/>
        <v>Yes</v>
      </c>
      <c r="O736">
        <f t="shared" si="82"/>
        <v>25</v>
      </c>
      <c r="P736" t="str">
        <f t="shared" si="83"/>
        <v>Black Friday</v>
      </c>
      <c r="Q736" t="s">
        <v>124</v>
      </c>
    </row>
    <row r="737" spans="1:17" x14ac:dyDescent="0.3">
      <c r="A737">
        <v>736</v>
      </c>
      <c r="B737" t="s">
        <v>25</v>
      </c>
      <c r="C737" s="1">
        <v>45962</v>
      </c>
      <c r="D737" t="s">
        <v>28</v>
      </c>
      <c r="E737" t="s">
        <v>33</v>
      </c>
      <c r="F737" s="2" t="s">
        <v>38</v>
      </c>
      <c r="G737" t="str">
        <f t="shared" si="79"/>
        <v>Yum Pistachio Gelato 33-USA</v>
      </c>
      <c r="H737">
        <f t="shared" si="80"/>
        <v>2688</v>
      </c>
      <c r="I737">
        <f>VLOOKUP(G737,Table4[[SKU-COUNTRY2]:[Price in USD]],2,FALSE)</f>
        <v>105</v>
      </c>
      <c r="J737">
        <f>VLOOKUP(G737,Sheet3!$C$82:$I$100,MATCH(E737,Sheet3!C$82:H$82,0),FALSE) * VLOOKUP(C737,Table8[],2,0)</f>
        <v>282240</v>
      </c>
      <c r="K737">
        <f>ROUND(J737*VLOOKUP(F737,Sheet3!$A$106:$C$111,2,FALSE),0)</f>
        <v>87494</v>
      </c>
      <c r="L737">
        <f t="shared" si="77"/>
        <v>194746</v>
      </c>
      <c r="M737">
        <f t="shared" si="78"/>
        <v>69</v>
      </c>
      <c r="N737" t="str">
        <f t="shared" si="81"/>
        <v>Yes</v>
      </c>
      <c r="O737">
        <f t="shared" si="82"/>
        <v>25</v>
      </c>
      <c r="P737" t="str">
        <f t="shared" si="83"/>
        <v>Black Friday</v>
      </c>
      <c r="Q737" t="s">
        <v>124</v>
      </c>
    </row>
    <row r="738" spans="1:17" x14ac:dyDescent="0.3">
      <c r="A738">
        <v>737</v>
      </c>
      <c r="B738" t="s">
        <v>25</v>
      </c>
      <c r="C738" s="1">
        <v>45962</v>
      </c>
      <c r="D738" t="s">
        <v>28</v>
      </c>
      <c r="E738" t="s">
        <v>33</v>
      </c>
      <c r="F738" s="2" t="s">
        <v>39</v>
      </c>
      <c r="G738" t="str">
        <f t="shared" si="79"/>
        <v>Freedom Musk Santal 34-USA</v>
      </c>
      <c r="H738">
        <f t="shared" si="80"/>
        <v>2240</v>
      </c>
      <c r="I738">
        <f>VLOOKUP(G738,Table4[[SKU-COUNTRY2]:[Price in USD]],2,FALSE)</f>
        <v>105</v>
      </c>
      <c r="J738">
        <f>VLOOKUP(G738,Sheet3!$C$82:$I$100,MATCH(E738,Sheet3!C$82:H$82,0),FALSE) * VLOOKUP(C738,Table8[],2,0)</f>
        <v>235199.99999999997</v>
      </c>
      <c r="K738">
        <f>ROUND(J738*VLOOKUP(F738,Sheet3!$A$106:$C$111,2,FALSE),0)</f>
        <v>75264</v>
      </c>
      <c r="L738">
        <f t="shared" si="77"/>
        <v>159935.99999999997</v>
      </c>
      <c r="M738">
        <f t="shared" si="78"/>
        <v>68</v>
      </c>
      <c r="N738" t="str">
        <f t="shared" si="81"/>
        <v>Yes</v>
      </c>
      <c r="O738">
        <f t="shared" si="82"/>
        <v>25</v>
      </c>
      <c r="P738" t="str">
        <f t="shared" si="83"/>
        <v>Black Friday</v>
      </c>
      <c r="Q738" t="s">
        <v>124</v>
      </c>
    </row>
    <row r="739" spans="1:17" x14ac:dyDescent="0.3">
      <c r="A739">
        <v>738</v>
      </c>
      <c r="B739" t="s">
        <v>25</v>
      </c>
      <c r="C739" s="1">
        <v>45962</v>
      </c>
      <c r="D739" t="s">
        <v>28</v>
      </c>
      <c r="E739" t="s">
        <v>33</v>
      </c>
      <c r="F739" s="2" t="s">
        <v>40</v>
      </c>
      <c r="G739" t="str">
        <f t="shared" si="79"/>
        <v>Musk 12-USA</v>
      </c>
      <c r="H739">
        <f t="shared" si="80"/>
        <v>1120</v>
      </c>
      <c r="I739">
        <f>VLOOKUP(G739,Table4[[SKU-COUNTRY2]:[Price in USD]],2,FALSE)</f>
        <v>105</v>
      </c>
      <c r="J739">
        <f>VLOOKUP(G739,Sheet3!$C$82:$I$100,MATCH(E739,Sheet3!C$82:H$82,0),FALSE) * VLOOKUP(C739,Table8[],2,0)</f>
        <v>117599.99999999999</v>
      </c>
      <c r="K739">
        <f>ROUND(J739*VLOOKUP(F739,Sheet3!$A$106:$C$111,2,FALSE),0)</f>
        <v>35280</v>
      </c>
      <c r="L739">
        <f t="shared" si="77"/>
        <v>82319.999999999985</v>
      </c>
      <c r="M739">
        <f t="shared" si="78"/>
        <v>70</v>
      </c>
      <c r="N739" t="str">
        <f t="shared" si="81"/>
        <v>Yes</v>
      </c>
      <c r="O739">
        <f t="shared" si="82"/>
        <v>25</v>
      </c>
      <c r="P739" t="str">
        <f t="shared" si="83"/>
        <v>Black Friday</v>
      </c>
      <c r="Q739" t="s">
        <v>124</v>
      </c>
    </row>
    <row r="740" spans="1:17" x14ac:dyDescent="0.3">
      <c r="A740">
        <v>739</v>
      </c>
      <c r="B740" t="s">
        <v>25</v>
      </c>
      <c r="C740" s="1">
        <v>45962</v>
      </c>
      <c r="D740" t="s">
        <v>28</v>
      </c>
      <c r="E740" t="s">
        <v>34</v>
      </c>
      <c r="F740" s="2" t="s">
        <v>35</v>
      </c>
      <c r="G740" t="str">
        <f t="shared" si="79"/>
        <v>Vanilla 28-USA</v>
      </c>
      <c r="H740">
        <f t="shared" si="80"/>
        <v>5227</v>
      </c>
      <c r="I740">
        <f>VLOOKUP(G740,Table4[[SKU-COUNTRY2]:[Price in USD]],2,FALSE)</f>
        <v>105</v>
      </c>
      <c r="J740">
        <f>VLOOKUP(G740,Sheet3!$C$82:$I$100,MATCH(E740,Sheet3!C$82:H$82,0),FALSE) * VLOOKUP(C740,Table8[],2,0)</f>
        <v>548800</v>
      </c>
      <c r="K740">
        <f>ROUND(J740*VLOOKUP(F740,Sheet3!$A$106:$C$111,2,FALSE),0)</f>
        <v>164640</v>
      </c>
      <c r="L740">
        <f t="shared" si="77"/>
        <v>384160</v>
      </c>
      <c r="M740">
        <f t="shared" si="78"/>
        <v>70</v>
      </c>
      <c r="N740" t="str">
        <f t="shared" si="81"/>
        <v>Yes</v>
      </c>
      <c r="O740">
        <f t="shared" si="82"/>
        <v>25</v>
      </c>
      <c r="P740" t="str">
        <f t="shared" si="83"/>
        <v>Black Friday</v>
      </c>
      <c r="Q740" t="s">
        <v>124</v>
      </c>
    </row>
    <row r="741" spans="1:17" x14ac:dyDescent="0.3">
      <c r="A741">
        <v>740</v>
      </c>
      <c r="B741" t="s">
        <v>25</v>
      </c>
      <c r="C741" s="1">
        <v>45962</v>
      </c>
      <c r="D741" t="s">
        <v>28</v>
      </c>
      <c r="E741" t="s">
        <v>34</v>
      </c>
      <c r="F741" s="2" t="s">
        <v>36</v>
      </c>
      <c r="G741" t="str">
        <f t="shared" si="79"/>
        <v>Eden Juicy Apple 01-USA</v>
      </c>
      <c r="H741">
        <f t="shared" si="80"/>
        <v>2987</v>
      </c>
      <c r="I741">
        <f>VLOOKUP(G741,Table4[[SKU-COUNTRY2]:[Price in USD]],2,FALSE)</f>
        <v>105</v>
      </c>
      <c r="J741">
        <f>VLOOKUP(G741,Sheet3!$C$82:$I$100,MATCH(E741,Sheet3!C$82:H$82,0),FALSE) * VLOOKUP(C741,Table8[],2,0)</f>
        <v>313600</v>
      </c>
      <c r="K741">
        <f>ROUND(J741*VLOOKUP(F741,Sheet3!$A$106:$C$111,2,FALSE),0)</f>
        <v>97216</v>
      </c>
      <c r="L741">
        <f t="shared" si="77"/>
        <v>216384</v>
      </c>
      <c r="M741">
        <f t="shared" si="78"/>
        <v>69</v>
      </c>
      <c r="N741" t="str">
        <f t="shared" si="81"/>
        <v>Yes</v>
      </c>
      <c r="O741">
        <f t="shared" si="82"/>
        <v>25</v>
      </c>
      <c r="P741" t="str">
        <f t="shared" si="83"/>
        <v>Black Friday</v>
      </c>
      <c r="Q741" t="s">
        <v>124</v>
      </c>
    </row>
    <row r="742" spans="1:17" x14ac:dyDescent="0.3">
      <c r="A742">
        <v>741</v>
      </c>
      <c r="B742" t="s">
        <v>25</v>
      </c>
      <c r="C742" s="1">
        <v>45962</v>
      </c>
      <c r="D742" t="s">
        <v>28</v>
      </c>
      <c r="E742" t="s">
        <v>34</v>
      </c>
      <c r="F742" s="2" t="s">
        <v>37</v>
      </c>
      <c r="G742" t="str">
        <f t="shared" si="79"/>
        <v>Oudgasm Tobacco Oud 04-USA</v>
      </c>
      <c r="H742">
        <f t="shared" si="80"/>
        <v>2016</v>
      </c>
      <c r="I742">
        <f>VLOOKUP(G742,Table4[[SKU-COUNTRY2]:[Price in USD]],2,FALSE)</f>
        <v>140</v>
      </c>
      <c r="J742">
        <f>VLOOKUP(G742,Sheet3!$C$82:$I$100,MATCH(E742,Sheet3!C$82:H$82,0),FALSE) * VLOOKUP(C742,Table8[],2,0)</f>
        <v>282240</v>
      </c>
      <c r="K742">
        <f>ROUND(J742*VLOOKUP(F742,Sheet3!$A$106:$C$111,2,FALSE),0)</f>
        <v>98784</v>
      </c>
      <c r="L742">
        <f t="shared" si="77"/>
        <v>183456</v>
      </c>
      <c r="M742">
        <f t="shared" si="78"/>
        <v>65</v>
      </c>
      <c r="N742" t="str">
        <f t="shared" si="81"/>
        <v>Yes</v>
      </c>
      <c r="O742">
        <f t="shared" si="82"/>
        <v>25</v>
      </c>
      <c r="P742" t="str">
        <f t="shared" si="83"/>
        <v>Black Friday</v>
      </c>
      <c r="Q742" t="s">
        <v>124</v>
      </c>
    </row>
    <row r="743" spans="1:17" x14ac:dyDescent="0.3">
      <c r="A743">
        <v>742</v>
      </c>
      <c r="B743" t="s">
        <v>25</v>
      </c>
      <c r="C743" s="1">
        <v>45962</v>
      </c>
      <c r="D743" t="s">
        <v>28</v>
      </c>
      <c r="E743" t="s">
        <v>34</v>
      </c>
      <c r="F743" s="2" t="s">
        <v>38</v>
      </c>
      <c r="G743" t="str">
        <f t="shared" si="79"/>
        <v>Yum Pistachio Gelato 33-USA</v>
      </c>
      <c r="H743">
        <f t="shared" si="80"/>
        <v>1792</v>
      </c>
      <c r="I743">
        <f>VLOOKUP(G743,Table4[[SKU-COUNTRY2]:[Price in USD]],2,FALSE)</f>
        <v>105</v>
      </c>
      <c r="J743">
        <f>VLOOKUP(G743,Sheet3!$C$82:$I$100,MATCH(E743,Sheet3!C$82:H$82,0),FALSE) * VLOOKUP(C743,Table8[],2,0)</f>
        <v>188160</v>
      </c>
      <c r="K743">
        <f>ROUND(J743*VLOOKUP(F743,Sheet3!$A$106:$C$111,2,FALSE),0)</f>
        <v>58330</v>
      </c>
      <c r="L743">
        <f t="shared" si="77"/>
        <v>129830</v>
      </c>
      <c r="M743">
        <f t="shared" si="78"/>
        <v>69</v>
      </c>
      <c r="N743" t="str">
        <f t="shared" si="81"/>
        <v>Yes</v>
      </c>
      <c r="O743">
        <f t="shared" si="82"/>
        <v>25</v>
      </c>
      <c r="P743" t="str">
        <f t="shared" si="83"/>
        <v>Black Friday</v>
      </c>
      <c r="Q743" t="s">
        <v>124</v>
      </c>
    </row>
    <row r="744" spans="1:17" x14ac:dyDescent="0.3">
      <c r="A744">
        <v>743</v>
      </c>
      <c r="B744" t="s">
        <v>25</v>
      </c>
      <c r="C744" s="1">
        <v>45962</v>
      </c>
      <c r="D744" t="s">
        <v>28</v>
      </c>
      <c r="E744" t="s">
        <v>34</v>
      </c>
      <c r="F744" s="2" t="s">
        <v>39</v>
      </c>
      <c r="G744" t="str">
        <f t="shared" si="79"/>
        <v>Freedom Musk Santal 34-USA</v>
      </c>
      <c r="H744">
        <f t="shared" si="80"/>
        <v>1493</v>
      </c>
      <c r="I744">
        <f>VLOOKUP(G744,Table4[[SKU-COUNTRY2]:[Price in USD]],2,FALSE)</f>
        <v>105</v>
      </c>
      <c r="J744">
        <f>VLOOKUP(G744,Sheet3!$C$82:$I$100,MATCH(E744,Sheet3!C$82:H$82,0),FALSE) * VLOOKUP(C744,Table8[],2,0)</f>
        <v>156800</v>
      </c>
      <c r="K744">
        <f>ROUND(J744*VLOOKUP(F744,Sheet3!$A$106:$C$111,2,FALSE),0)</f>
        <v>50176</v>
      </c>
      <c r="L744">
        <f t="shared" si="77"/>
        <v>106624</v>
      </c>
      <c r="M744">
        <f t="shared" si="78"/>
        <v>68</v>
      </c>
      <c r="N744" t="str">
        <f t="shared" si="81"/>
        <v>Yes</v>
      </c>
      <c r="O744">
        <f t="shared" si="82"/>
        <v>25</v>
      </c>
      <c r="P744" t="str">
        <f t="shared" si="83"/>
        <v>Black Friday</v>
      </c>
      <c r="Q744" t="s">
        <v>124</v>
      </c>
    </row>
    <row r="745" spans="1:17" x14ac:dyDescent="0.3">
      <c r="A745">
        <v>744</v>
      </c>
      <c r="B745" t="s">
        <v>25</v>
      </c>
      <c r="C745" s="1">
        <v>45962</v>
      </c>
      <c r="D745" t="s">
        <v>28</v>
      </c>
      <c r="E745" t="s">
        <v>34</v>
      </c>
      <c r="F745" s="2" t="s">
        <v>40</v>
      </c>
      <c r="G745" t="str">
        <f t="shared" si="79"/>
        <v>Musk 12-USA</v>
      </c>
      <c r="H745">
        <f t="shared" si="80"/>
        <v>747</v>
      </c>
      <c r="I745">
        <f>VLOOKUP(G745,Table4[[SKU-COUNTRY2]:[Price in USD]],2,FALSE)</f>
        <v>105</v>
      </c>
      <c r="J745">
        <f>VLOOKUP(G745,Sheet3!$C$82:$I$100,MATCH(E745,Sheet3!C$82:H$82,0),FALSE) * VLOOKUP(C745,Table8[],2,0)</f>
        <v>78400</v>
      </c>
      <c r="K745">
        <f>ROUND(J745*VLOOKUP(F745,Sheet3!$A$106:$C$111,2,FALSE),0)</f>
        <v>23520</v>
      </c>
      <c r="L745">
        <f t="shared" si="77"/>
        <v>54880</v>
      </c>
      <c r="M745">
        <f t="shared" si="78"/>
        <v>70</v>
      </c>
      <c r="N745" t="str">
        <f t="shared" si="81"/>
        <v>Yes</v>
      </c>
      <c r="O745">
        <f t="shared" si="82"/>
        <v>25</v>
      </c>
      <c r="P745" t="str">
        <f t="shared" si="83"/>
        <v>Black Friday</v>
      </c>
      <c r="Q745" t="s">
        <v>124</v>
      </c>
    </row>
    <row r="746" spans="1:17" x14ac:dyDescent="0.3">
      <c r="A746">
        <v>745</v>
      </c>
      <c r="B746" t="s">
        <v>25</v>
      </c>
      <c r="C746" s="1">
        <v>45962</v>
      </c>
      <c r="D746" t="s">
        <v>27</v>
      </c>
      <c r="E746" t="s">
        <v>32</v>
      </c>
      <c r="F746" s="2" t="s">
        <v>35</v>
      </c>
      <c r="G746" t="str">
        <f t="shared" si="79"/>
        <v>Vanilla 28-UK</v>
      </c>
      <c r="H746">
        <f t="shared" si="80"/>
        <v>3307</v>
      </c>
      <c r="I746">
        <f>VLOOKUP(G746,Table4[[SKU-COUNTRY2]:[Price in USD]],2,FALSE)</f>
        <v>101.6</v>
      </c>
      <c r="J746">
        <f>VLOOKUP(G746,Sheet3!$C$82:$I$100,MATCH(E746,Sheet3!C$82:H$82,0),FALSE) * VLOOKUP(C746,Table8[],2,0)</f>
        <v>336000</v>
      </c>
      <c r="K746">
        <f>ROUND(J746*VLOOKUP(F746,Sheet3!$A$106:$C$111,2,FALSE),0)</f>
        <v>100800</v>
      </c>
      <c r="L746">
        <f t="shared" si="77"/>
        <v>235200</v>
      </c>
      <c r="M746">
        <f t="shared" si="78"/>
        <v>70</v>
      </c>
      <c r="N746" t="str">
        <f t="shared" si="81"/>
        <v>Yes</v>
      </c>
      <c r="O746">
        <f t="shared" si="82"/>
        <v>25</v>
      </c>
      <c r="P746" t="str">
        <f t="shared" si="83"/>
        <v>Black Friday</v>
      </c>
      <c r="Q746" t="s">
        <v>124</v>
      </c>
    </row>
    <row r="747" spans="1:17" x14ac:dyDescent="0.3">
      <c r="A747">
        <v>746</v>
      </c>
      <c r="B747" t="s">
        <v>25</v>
      </c>
      <c r="C747" s="1">
        <v>45962</v>
      </c>
      <c r="D747" t="s">
        <v>27</v>
      </c>
      <c r="E747" t="s">
        <v>32</v>
      </c>
      <c r="F747" s="2" t="s">
        <v>36</v>
      </c>
      <c r="G747" t="str">
        <f t="shared" si="79"/>
        <v>Eden Juicy Apple 01-UK</v>
      </c>
      <c r="H747">
        <f t="shared" si="80"/>
        <v>2425</v>
      </c>
      <c r="I747">
        <f>VLOOKUP(G747,Table4[[SKU-COUNTRY2]:[Price in USD]],2,FALSE)</f>
        <v>101.6</v>
      </c>
      <c r="J747">
        <f>VLOOKUP(G747,Sheet3!$C$82:$I$100,MATCH(E747,Sheet3!C$82:H$82,0),FALSE) * VLOOKUP(C747,Table8[],2,0)</f>
        <v>246399.99999999997</v>
      </c>
      <c r="K747">
        <f>ROUND(J747*VLOOKUP(F747,Sheet3!$A$106:$C$111,2,FALSE),0)</f>
        <v>76384</v>
      </c>
      <c r="L747">
        <f t="shared" si="77"/>
        <v>170015.99999999997</v>
      </c>
      <c r="M747">
        <f t="shared" si="78"/>
        <v>69</v>
      </c>
      <c r="N747" t="str">
        <f t="shared" si="81"/>
        <v>Yes</v>
      </c>
      <c r="O747">
        <f t="shared" si="82"/>
        <v>25</v>
      </c>
      <c r="P747" t="str">
        <f t="shared" si="83"/>
        <v>Black Friday</v>
      </c>
      <c r="Q747" t="s">
        <v>124</v>
      </c>
    </row>
    <row r="748" spans="1:17" x14ac:dyDescent="0.3">
      <c r="A748">
        <v>747</v>
      </c>
      <c r="B748" t="s">
        <v>25</v>
      </c>
      <c r="C748" s="1">
        <v>45962</v>
      </c>
      <c r="D748" t="s">
        <v>27</v>
      </c>
      <c r="E748" t="s">
        <v>32</v>
      </c>
      <c r="F748" s="2" t="s">
        <v>37</v>
      </c>
      <c r="G748" t="str">
        <f t="shared" si="79"/>
        <v>Oudgasm Tobacco Oud 04-UK</v>
      </c>
      <c r="H748">
        <f t="shared" si="80"/>
        <v>1334</v>
      </c>
      <c r="I748">
        <f>VLOOKUP(G748,Table4[[SKU-COUNTRY2]:[Price in USD]],2,FALSE)</f>
        <v>151.13</v>
      </c>
      <c r="J748">
        <f>VLOOKUP(G748,Sheet3!$C$82:$I$100,MATCH(E748,Sheet3!C$82:H$82,0),FALSE) * VLOOKUP(C748,Table8[],2,0)</f>
        <v>201600</v>
      </c>
      <c r="K748">
        <f>ROUND(J748*VLOOKUP(F748,Sheet3!$A$106:$C$111,2,FALSE),0)</f>
        <v>70560</v>
      </c>
      <c r="L748">
        <f t="shared" si="77"/>
        <v>131040</v>
      </c>
      <c r="M748">
        <f t="shared" si="78"/>
        <v>65</v>
      </c>
      <c r="N748" t="str">
        <f t="shared" si="81"/>
        <v>Yes</v>
      </c>
      <c r="O748">
        <f t="shared" si="82"/>
        <v>25</v>
      </c>
      <c r="P748" t="str">
        <f t="shared" si="83"/>
        <v>Black Friday</v>
      </c>
      <c r="Q748" t="s">
        <v>124</v>
      </c>
    </row>
    <row r="749" spans="1:17" x14ac:dyDescent="0.3">
      <c r="A749">
        <v>748</v>
      </c>
      <c r="B749" t="s">
        <v>25</v>
      </c>
      <c r="C749" s="1">
        <v>45962</v>
      </c>
      <c r="D749" t="s">
        <v>27</v>
      </c>
      <c r="E749" t="s">
        <v>32</v>
      </c>
      <c r="F749" s="2" t="s">
        <v>38</v>
      </c>
      <c r="G749" t="str">
        <f t="shared" si="79"/>
        <v>Yum Pistachio Gelato 33-UK</v>
      </c>
      <c r="H749">
        <f t="shared" si="80"/>
        <v>1433</v>
      </c>
      <c r="I749">
        <f>VLOOKUP(G749,Table4[[SKU-COUNTRY2]:[Price in USD]],2,FALSE)</f>
        <v>101.6</v>
      </c>
      <c r="J749">
        <f>VLOOKUP(G749,Sheet3!$C$82:$I$100,MATCH(E749,Sheet3!C$82:H$82,0),FALSE) * VLOOKUP(C749,Table8[],2,0)</f>
        <v>145600</v>
      </c>
      <c r="K749">
        <f>ROUND(J749*VLOOKUP(F749,Sheet3!$A$106:$C$111,2,FALSE),0)</f>
        <v>45136</v>
      </c>
      <c r="L749">
        <f t="shared" si="77"/>
        <v>100464</v>
      </c>
      <c r="M749">
        <f t="shared" si="78"/>
        <v>69</v>
      </c>
      <c r="N749" t="str">
        <f t="shared" si="81"/>
        <v>Yes</v>
      </c>
      <c r="O749">
        <f t="shared" si="82"/>
        <v>25</v>
      </c>
      <c r="P749" t="str">
        <f t="shared" si="83"/>
        <v>Black Friday</v>
      </c>
      <c r="Q749" t="s">
        <v>124</v>
      </c>
    </row>
    <row r="750" spans="1:17" x14ac:dyDescent="0.3">
      <c r="A750">
        <v>749</v>
      </c>
      <c r="B750" t="s">
        <v>25</v>
      </c>
      <c r="C750" s="1">
        <v>45962</v>
      </c>
      <c r="D750" t="s">
        <v>27</v>
      </c>
      <c r="E750" t="s">
        <v>32</v>
      </c>
      <c r="F750" s="2" t="s">
        <v>39</v>
      </c>
      <c r="G750" t="str">
        <f t="shared" si="79"/>
        <v>Freedom Musk Santal 34-UK</v>
      </c>
      <c r="H750">
        <f t="shared" si="80"/>
        <v>1102</v>
      </c>
      <c r="I750">
        <f>VLOOKUP(G750,Table4[[SKU-COUNTRY2]:[Price in USD]],2,FALSE)</f>
        <v>101.6</v>
      </c>
      <c r="J750">
        <f>VLOOKUP(G750,Sheet3!$C$82:$I$100,MATCH(E750,Sheet3!C$82:H$82,0),FALSE) * VLOOKUP(C750,Table8[],2,0)</f>
        <v>112000</v>
      </c>
      <c r="K750">
        <f>ROUND(J750*VLOOKUP(F750,Sheet3!$A$106:$C$111,2,FALSE),0)</f>
        <v>35840</v>
      </c>
      <c r="L750">
        <f t="shared" si="77"/>
        <v>76160</v>
      </c>
      <c r="M750">
        <f t="shared" si="78"/>
        <v>68</v>
      </c>
      <c r="N750" t="str">
        <f t="shared" si="81"/>
        <v>Yes</v>
      </c>
      <c r="O750">
        <f t="shared" si="82"/>
        <v>25</v>
      </c>
      <c r="P750" t="str">
        <f t="shared" si="83"/>
        <v>Black Friday</v>
      </c>
      <c r="Q750" t="s">
        <v>124</v>
      </c>
    </row>
    <row r="751" spans="1:17" x14ac:dyDescent="0.3">
      <c r="A751">
        <v>750</v>
      </c>
      <c r="B751" t="s">
        <v>25</v>
      </c>
      <c r="C751" s="1">
        <v>45962</v>
      </c>
      <c r="D751" t="s">
        <v>27</v>
      </c>
      <c r="E751" t="s">
        <v>32</v>
      </c>
      <c r="F751" s="2" t="s">
        <v>40</v>
      </c>
      <c r="G751" t="str">
        <f t="shared" si="79"/>
        <v>Musk 12-UK</v>
      </c>
      <c r="H751">
        <f t="shared" si="80"/>
        <v>772</v>
      </c>
      <c r="I751">
        <f>VLOOKUP(G751,Table4[[SKU-COUNTRY2]:[Price in USD]],2,FALSE)</f>
        <v>101.6</v>
      </c>
      <c r="J751">
        <f>VLOOKUP(G751,Sheet3!$C$82:$I$100,MATCH(E751,Sheet3!C$82:H$82,0),FALSE) * VLOOKUP(C751,Table8[],2,0)</f>
        <v>78400</v>
      </c>
      <c r="K751">
        <f>ROUND(J751*VLOOKUP(F751,Sheet3!$A$106:$C$111,2,FALSE),0)</f>
        <v>23520</v>
      </c>
      <c r="L751">
        <f t="shared" si="77"/>
        <v>54880</v>
      </c>
      <c r="M751">
        <f t="shared" si="78"/>
        <v>70</v>
      </c>
      <c r="N751" t="str">
        <f t="shared" si="81"/>
        <v>Yes</v>
      </c>
      <c r="O751">
        <f t="shared" si="82"/>
        <v>25</v>
      </c>
      <c r="P751" t="str">
        <f t="shared" si="83"/>
        <v>Black Friday</v>
      </c>
      <c r="Q751" t="s">
        <v>124</v>
      </c>
    </row>
    <row r="752" spans="1:17" x14ac:dyDescent="0.3">
      <c r="A752">
        <v>751</v>
      </c>
      <c r="B752" t="s">
        <v>25</v>
      </c>
      <c r="C752" s="1">
        <v>45962</v>
      </c>
      <c r="D752" t="s">
        <v>27</v>
      </c>
      <c r="E752" t="s">
        <v>31</v>
      </c>
      <c r="F752" s="2" t="s">
        <v>35</v>
      </c>
      <c r="G752" t="str">
        <f t="shared" si="79"/>
        <v>Vanilla 28-UK</v>
      </c>
      <c r="H752">
        <f t="shared" si="80"/>
        <v>1654</v>
      </c>
      <c r="I752">
        <f>VLOOKUP(G752,Table4[[SKU-COUNTRY2]:[Price in USD]],2,FALSE)</f>
        <v>101.6</v>
      </c>
      <c r="J752">
        <f>VLOOKUP(G752,Sheet3!$C$82:$I$100,MATCH(E752,Sheet3!C$82:H$82,0),FALSE) * VLOOKUP(C752,Table8[],2,0)</f>
        <v>168000</v>
      </c>
      <c r="K752">
        <f>ROUND(J752*VLOOKUP(F752,Sheet3!$A$106:$C$111,2,FALSE),0)</f>
        <v>50400</v>
      </c>
      <c r="L752">
        <f t="shared" si="77"/>
        <v>117600</v>
      </c>
      <c r="M752">
        <f t="shared" si="78"/>
        <v>70</v>
      </c>
      <c r="N752" t="str">
        <f t="shared" si="81"/>
        <v>Yes</v>
      </c>
      <c r="O752">
        <f t="shared" si="82"/>
        <v>25</v>
      </c>
      <c r="P752" t="str">
        <f t="shared" si="83"/>
        <v>Black Friday</v>
      </c>
      <c r="Q752" t="s">
        <v>124</v>
      </c>
    </row>
    <row r="753" spans="1:17" x14ac:dyDescent="0.3">
      <c r="A753">
        <v>752</v>
      </c>
      <c r="B753" t="s">
        <v>25</v>
      </c>
      <c r="C753" s="1">
        <v>45962</v>
      </c>
      <c r="D753" t="s">
        <v>27</v>
      </c>
      <c r="E753" t="s">
        <v>31</v>
      </c>
      <c r="F753" s="2" t="s">
        <v>36</v>
      </c>
      <c r="G753" t="str">
        <f t="shared" si="79"/>
        <v>Eden Juicy Apple 01-UK</v>
      </c>
      <c r="H753">
        <f t="shared" si="80"/>
        <v>1213</v>
      </c>
      <c r="I753">
        <f>VLOOKUP(G753,Table4[[SKU-COUNTRY2]:[Price in USD]],2,FALSE)</f>
        <v>101.6</v>
      </c>
      <c r="J753">
        <f>VLOOKUP(G753,Sheet3!$C$82:$I$100,MATCH(E753,Sheet3!C$82:H$82,0),FALSE) * VLOOKUP(C753,Table8[],2,0)</f>
        <v>123199.99999999999</v>
      </c>
      <c r="K753">
        <f>ROUND(J753*VLOOKUP(F753,Sheet3!$A$106:$C$111,2,FALSE),0)</f>
        <v>38192</v>
      </c>
      <c r="L753">
        <f t="shared" si="77"/>
        <v>85007.999999999985</v>
      </c>
      <c r="M753">
        <f t="shared" si="78"/>
        <v>69</v>
      </c>
      <c r="N753" t="str">
        <f t="shared" si="81"/>
        <v>Yes</v>
      </c>
      <c r="O753">
        <f t="shared" si="82"/>
        <v>25</v>
      </c>
      <c r="P753" t="str">
        <f t="shared" si="83"/>
        <v>Black Friday</v>
      </c>
      <c r="Q753" t="s">
        <v>124</v>
      </c>
    </row>
    <row r="754" spans="1:17" x14ac:dyDescent="0.3">
      <c r="A754">
        <v>753</v>
      </c>
      <c r="B754" t="s">
        <v>25</v>
      </c>
      <c r="C754" s="1">
        <v>45962</v>
      </c>
      <c r="D754" t="s">
        <v>27</v>
      </c>
      <c r="E754" t="s">
        <v>31</v>
      </c>
      <c r="F754" s="2" t="s">
        <v>37</v>
      </c>
      <c r="G754" t="str">
        <f t="shared" si="79"/>
        <v>Oudgasm Tobacco Oud 04-UK</v>
      </c>
      <c r="H754">
        <f t="shared" si="80"/>
        <v>667</v>
      </c>
      <c r="I754">
        <f>VLOOKUP(G754,Table4[[SKU-COUNTRY2]:[Price in USD]],2,FALSE)</f>
        <v>151.13</v>
      </c>
      <c r="J754">
        <f>VLOOKUP(G754,Sheet3!$C$82:$I$100,MATCH(E754,Sheet3!C$82:H$82,0),FALSE) * VLOOKUP(C754,Table8[],2,0)</f>
        <v>100800</v>
      </c>
      <c r="K754">
        <f>ROUND(J754*VLOOKUP(F754,Sheet3!$A$106:$C$111,2,FALSE),0)</f>
        <v>35280</v>
      </c>
      <c r="L754">
        <f t="shared" si="77"/>
        <v>65520</v>
      </c>
      <c r="M754">
        <f t="shared" si="78"/>
        <v>65</v>
      </c>
      <c r="N754" t="str">
        <f t="shared" si="81"/>
        <v>Yes</v>
      </c>
      <c r="O754">
        <f t="shared" si="82"/>
        <v>25</v>
      </c>
      <c r="P754" t="str">
        <f t="shared" si="83"/>
        <v>Black Friday</v>
      </c>
      <c r="Q754" t="s">
        <v>124</v>
      </c>
    </row>
    <row r="755" spans="1:17" x14ac:dyDescent="0.3">
      <c r="A755">
        <v>754</v>
      </c>
      <c r="B755" t="s">
        <v>25</v>
      </c>
      <c r="C755" s="1">
        <v>45962</v>
      </c>
      <c r="D755" t="s">
        <v>27</v>
      </c>
      <c r="E755" t="s">
        <v>31</v>
      </c>
      <c r="F755" s="2" t="s">
        <v>38</v>
      </c>
      <c r="G755" t="str">
        <f t="shared" si="79"/>
        <v>Yum Pistachio Gelato 33-UK</v>
      </c>
      <c r="H755">
        <f t="shared" si="80"/>
        <v>717</v>
      </c>
      <c r="I755">
        <f>VLOOKUP(G755,Table4[[SKU-COUNTRY2]:[Price in USD]],2,FALSE)</f>
        <v>101.6</v>
      </c>
      <c r="J755">
        <f>VLOOKUP(G755,Sheet3!$C$82:$I$100,MATCH(E755,Sheet3!C$82:H$82,0),FALSE) * VLOOKUP(C755,Table8[],2,0)</f>
        <v>72800</v>
      </c>
      <c r="K755">
        <f>ROUND(J755*VLOOKUP(F755,Sheet3!$A$106:$C$111,2,FALSE),0)</f>
        <v>22568</v>
      </c>
      <c r="L755">
        <f t="shared" si="77"/>
        <v>50232</v>
      </c>
      <c r="M755">
        <f t="shared" si="78"/>
        <v>69</v>
      </c>
      <c r="N755" t="str">
        <f t="shared" si="81"/>
        <v>Yes</v>
      </c>
      <c r="O755">
        <f t="shared" si="82"/>
        <v>25</v>
      </c>
      <c r="P755" t="str">
        <f t="shared" si="83"/>
        <v>Black Friday</v>
      </c>
      <c r="Q755" t="s">
        <v>124</v>
      </c>
    </row>
    <row r="756" spans="1:17" x14ac:dyDescent="0.3">
      <c r="A756">
        <v>755</v>
      </c>
      <c r="B756" t="s">
        <v>25</v>
      </c>
      <c r="C756" s="1">
        <v>45962</v>
      </c>
      <c r="D756" t="s">
        <v>27</v>
      </c>
      <c r="E756" t="s">
        <v>31</v>
      </c>
      <c r="F756" s="2" t="s">
        <v>39</v>
      </c>
      <c r="G756" t="str">
        <f t="shared" si="79"/>
        <v>Freedom Musk Santal 34-UK</v>
      </c>
      <c r="H756">
        <f t="shared" si="80"/>
        <v>551</v>
      </c>
      <c r="I756">
        <f>VLOOKUP(G756,Table4[[SKU-COUNTRY2]:[Price in USD]],2,FALSE)</f>
        <v>101.6</v>
      </c>
      <c r="J756">
        <f>VLOOKUP(G756,Sheet3!$C$82:$I$100,MATCH(E756,Sheet3!C$82:H$82,0),FALSE) * VLOOKUP(C756,Table8[],2,0)</f>
        <v>56000</v>
      </c>
      <c r="K756">
        <f>ROUND(J756*VLOOKUP(F756,Sheet3!$A$106:$C$111,2,FALSE),0)</f>
        <v>17920</v>
      </c>
      <c r="L756">
        <f t="shared" si="77"/>
        <v>38080</v>
      </c>
      <c r="M756">
        <f t="shared" si="78"/>
        <v>68</v>
      </c>
      <c r="N756" t="str">
        <f t="shared" si="81"/>
        <v>Yes</v>
      </c>
      <c r="O756">
        <f t="shared" si="82"/>
        <v>25</v>
      </c>
      <c r="P756" t="str">
        <f t="shared" si="83"/>
        <v>Black Friday</v>
      </c>
      <c r="Q756" t="s">
        <v>124</v>
      </c>
    </row>
    <row r="757" spans="1:17" x14ac:dyDescent="0.3">
      <c r="A757">
        <v>756</v>
      </c>
      <c r="B757" t="s">
        <v>25</v>
      </c>
      <c r="C757" s="1">
        <v>45962</v>
      </c>
      <c r="D757" t="s">
        <v>27</v>
      </c>
      <c r="E757" t="s">
        <v>31</v>
      </c>
      <c r="F757" s="2" t="s">
        <v>40</v>
      </c>
      <c r="G757" t="str">
        <f t="shared" si="79"/>
        <v>Musk 12-UK</v>
      </c>
      <c r="H757">
        <f t="shared" si="80"/>
        <v>386</v>
      </c>
      <c r="I757">
        <f>VLOOKUP(G757,Table4[[SKU-COUNTRY2]:[Price in USD]],2,FALSE)</f>
        <v>101.6</v>
      </c>
      <c r="J757">
        <f>VLOOKUP(G757,Sheet3!$C$82:$I$100,MATCH(E757,Sheet3!C$82:H$82,0),FALSE) * VLOOKUP(C757,Table8[],2,0)</f>
        <v>39200</v>
      </c>
      <c r="K757">
        <f>ROUND(J757*VLOOKUP(F757,Sheet3!$A$106:$C$111,2,FALSE),0)</f>
        <v>11760</v>
      </c>
      <c r="L757">
        <f t="shared" si="77"/>
        <v>27440</v>
      </c>
      <c r="M757">
        <f t="shared" si="78"/>
        <v>70</v>
      </c>
      <c r="N757" t="str">
        <f t="shared" si="81"/>
        <v>Yes</v>
      </c>
      <c r="O757">
        <f t="shared" si="82"/>
        <v>25</v>
      </c>
      <c r="P757" t="str">
        <f t="shared" si="83"/>
        <v>Black Friday</v>
      </c>
      <c r="Q757" t="s">
        <v>124</v>
      </c>
    </row>
    <row r="758" spans="1:17" x14ac:dyDescent="0.3">
      <c r="A758">
        <v>757</v>
      </c>
      <c r="B758" t="s">
        <v>25</v>
      </c>
      <c r="C758" s="1">
        <v>45962</v>
      </c>
      <c r="D758" t="s">
        <v>27</v>
      </c>
      <c r="E758" t="s">
        <v>33</v>
      </c>
      <c r="F758" s="2" t="s">
        <v>35</v>
      </c>
      <c r="G758" t="str">
        <f t="shared" si="79"/>
        <v>Vanilla 28-UK</v>
      </c>
      <c r="H758">
        <f t="shared" si="80"/>
        <v>1240</v>
      </c>
      <c r="I758">
        <f>VLOOKUP(G758,Table4[[SKU-COUNTRY2]:[Price in USD]],2,FALSE)</f>
        <v>101.6</v>
      </c>
      <c r="J758">
        <f>VLOOKUP(G758,Sheet3!$C$82:$I$100,MATCH(E758,Sheet3!C$82:H$82,0),FALSE) * VLOOKUP(C758,Table8[],2,0)</f>
        <v>125999.99999999999</v>
      </c>
      <c r="K758">
        <f>ROUND(J758*VLOOKUP(F758,Sheet3!$A$106:$C$111,2,FALSE),0)</f>
        <v>37800</v>
      </c>
      <c r="L758">
        <f t="shared" si="77"/>
        <v>88199.999999999985</v>
      </c>
      <c r="M758">
        <f t="shared" si="78"/>
        <v>70</v>
      </c>
      <c r="N758" t="str">
        <f t="shared" si="81"/>
        <v>Yes</v>
      </c>
      <c r="O758">
        <f t="shared" si="82"/>
        <v>25</v>
      </c>
      <c r="P758" t="str">
        <f t="shared" si="83"/>
        <v>Black Friday</v>
      </c>
      <c r="Q758" t="s">
        <v>124</v>
      </c>
    </row>
    <row r="759" spans="1:17" x14ac:dyDescent="0.3">
      <c r="A759">
        <v>758</v>
      </c>
      <c r="B759" t="s">
        <v>25</v>
      </c>
      <c r="C759" s="1">
        <v>45962</v>
      </c>
      <c r="D759" t="s">
        <v>27</v>
      </c>
      <c r="E759" t="s">
        <v>33</v>
      </c>
      <c r="F759" s="2" t="s">
        <v>36</v>
      </c>
      <c r="G759" t="str">
        <f t="shared" si="79"/>
        <v>Eden Juicy Apple 01-UK</v>
      </c>
      <c r="H759">
        <f t="shared" si="80"/>
        <v>909</v>
      </c>
      <c r="I759">
        <f>VLOOKUP(G759,Table4[[SKU-COUNTRY2]:[Price in USD]],2,FALSE)</f>
        <v>101.6</v>
      </c>
      <c r="J759">
        <f>VLOOKUP(G759,Sheet3!$C$82:$I$100,MATCH(E759,Sheet3!C$82:H$82,0),FALSE) * VLOOKUP(C759,Table8[],2,0)</f>
        <v>92400</v>
      </c>
      <c r="K759">
        <f>ROUND(J759*VLOOKUP(F759,Sheet3!$A$106:$C$111,2,FALSE),0)</f>
        <v>28644</v>
      </c>
      <c r="L759">
        <f t="shared" si="77"/>
        <v>63756</v>
      </c>
      <c r="M759">
        <f t="shared" si="78"/>
        <v>69</v>
      </c>
      <c r="N759" t="str">
        <f t="shared" si="81"/>
        <v>Yes</v>
      </c>
      <c r="O759">
        <f t="shared" si="82"/>
        <v>25</v>
      </c>
      <c r="P759" t="str">
        <f t="shared" si="83"/>
        <v>Black Friday</v>
      </c>
      <c r="Q759" t="s">
        <v>124</v>
      </c>
    </row>
    <row r="760" spans="1:17" x14ac:dyDescent="0.3">
      <c r="A760">
        <v>759</v>
      </c>
      <c r="B760" t="s">
        <v>25</v>
      </c>
      <c r="C760" s="1">
        <v>45962</v>
      </c>
      <c r="D760" t="s">
        <v>27</v>
      </c>
      <c r="E760" t="s">
        <v>33</v>
      </c>
      <c r="F760" s="2" t="s">
        <v>37</v>
      </c>
      <c r="G760" t="str">
        <f t="shared" si="79"/>
        <v>Oudgasm Tobacco Oud 04-UK</v>
      </c>
      <c r="H760">
        <f t="shared" si="80"/>
        <v>500</v>
      </c>
      <c r="I760">
        <f>VLOOKUP(G760,Table4[[SKU-COUNTRY2]:[Price in USD]],2,FALSE)</f>
        <v>151.13</v>
      </c>
      <c r="J760">
        <f>VLOOKUP(G760,Sheet3!$C$82:$I$100,MATCH(E760,Sheet3!C$82:H$82,0),FALSE) * VLOOKUP(C760,Table8[],2,0)</f>
        <v>75600</v>
      </c>
      <c r="K760">
        <f>ROUND(J760*VLOOKUP(F760,Sheet3!$A$106:$C$111,2,FALSE),0)</f>
        <v>26460</v>
      </c>
      <c r="L760">
        <f t="shared" si="77"/>
        <v>49140</v>
      </c>
      <c r="M760">
        <f t="shared" si="78"/>
        <v>65</v>
      </c>
      <c r="N760" t="str">
        <f t="shared" si="81"/>
        <v>Yes</v>
      </c>
      <c r="O760">
        <f t="shared" si="82"/>
        <v>25</v>
      </c>
      <c r="P760" t="str">
        <f t="shared" si="83"/>
        <v>Black Friday</v>
      </c>
      <c r="Q760" t="s">
        <v>124</v>
      </c>
    </row>
    <row r="761" spans="1:17" x14ac:dyDescent="0.3">
      <c r="A761">
        <v>760</v>
      </c>
      <c r="B761" t="s">
        <v>25</v>
      </c>
      <c r="C761" s="1">
        <v>45962</v>
      </c>
      <c r="D761" t="s">
        <v>27</v>
      </c>
      <c r="E761" t="s">
        <v>33</v>
      </c>
      <c r="F761" s="2" t="s">
        <v>38</v>
      </c>
      <c r="G761" t="str">
        <f t="shared" si="79"/>
        <v>Yum Pistachio Gelato 33-UK</v>
      </c>
      <c r="H761">
        <f t="shared" si="80"/>
        <v>537</v>
      </c>
      <c r="I761">
        <f>VLOOKUP(G761,Table4[[SKU-COUNTRY2]:[Price in USD]],2,FALSE)</f>
        <v>101.6</v>
      </c>
      <c r="J761">
        <f>VLOOKUP(G761,Sheet3!$C$82:$I$100,MATCH(E761,Sheet3!C$82:H$82,0),FALSE) * VLOOKUP(C761,Table8[],2,0)</f>
        <v>54600</v>
      </c>
      <c r="K761">
        <f>ROUND(J761*VLOOKUP(F761,Sheet3!$A$106:$C$111,2,FALSE),0)</f>
        <v>16926</v>
      </c>
      <c r="L761">
        <f t="shared" si="77"/>
        <v>37674</v>
      </c>
      <c r="M761">
        <f t="shared" si="78"/>
        <v>69</v>
      </c>
      <c r="N761" t="str">
        <f t="shared" si="81"/>
        <v>Yes</v>
      </c>
      <c r="O761">
        <f t="shared" si="82"/>
        <v>25</v>
      </c>
      <c r="P761" t="str">
        <f t="shared" si="83"/>
        <v>Black Friday</v>
      </c>
      <c r="Q761" t="s">
        <v>124</v>
      </c>
    </row>
    <row r="762" spans="1:17" x14ac:dyDescent="0.3">
      <c r="A762">
        <v>761</v>
      </c>
      <c r="B762" t="s">
        <v>25</v>
      </c>
      <c r="C762" s="1">
        <v>45962</v>
      </c>
      <c r="D762" t="s">
        <v>27</v>
      </c>
      <c r="E762" t="s">
        <v>33</v>
      </c>
      <c r="F762" s="2" t="s">
        <v>39</v>
      </c>
      <c r="G762" t="str">
        <f t="shared" si="79"/>
        <v>Freedom Musk Santal 34-UK</v>
      </c>
      <c r="H762">
        <f t="shared" si="80"/>
        <v>413</v>
      </c>
      <c r="I762">
        <f>VLOOKUP(G762,Table4[[SKU-COUNTRY2]:[Price in USD]],2,FALSE)</f>
        <v>101.6</v>
      </c>
      <c r="J762">
        <f>VLOOKUP(G762,Sheet3!$C$82:$I$100,MATCH(E762,Sheet3!C$82:H$82,0),FALSE) * VLOOKUP(C762,Table8[],2,0)</f>
        <v>42000</v>
      </c>
      <c r="K762">
        <f>ROUND(J762*VLOOKUP(F762,Sheet3!$A$106:$C$111,2,FALSE),0)</f>
        <v>13440</v>
      </c>
      <c r="L762">
        <f t="shared" si="77"/>
        <v>28560</v>
      </c>
      <c r="M762">
        <f t="shared" si="78"/>
        <v>68</v>
      </c>
      <c r="N762" t="str">
        <f t="shared" si="81"/>
        <v>Yes</v>
      </c>
      <c r="O762">
        <f t="shared" si="82"/>
        <v>25</v>
      </c>
      <c r="P762" t="str">
        <f t="shared" si="83"/>
        <v>Black Friday</v>
      </c>
      <c r="Q762" t="s">
        <v>124</v>
      </c>
    </row>
    <row r="763" spans="1:17" x14ac:dyDescent="0.3">
      <c r="A763">
        <v>762</v>
      </c>
      <c r="B763" t="s">
        <v>25</v>
      </c>
      <c r="C763" s="1">
        <v>45962</v>
      </c>
      <c r="D763" t="s">
        <v>27</v>
      </c>
      <c r="E763" t="s">
        <v>33</v>
      </c>
      <c r="F763" s="2" t="s">
        <v>40</v>
      </c>
      <c r="G763" t="str">
        <f t="shared" si="79"/>
        <v>Musk 12-UK</v>
      </c>
      <c r="H763">
        <f t="shared" si="80"/>
        <v>289</v>
      </c>
      <c r="I763">
        <f>VLOOKUP(G763,Table4[[SKU-COUNTRY2]:[Price in USD]],2,FALSE)</f>
        <v>101.6</v>
      </c>
      <c r="J763">
        <f>VLOOKUP(G763,Sheet3!$C$82:$I$100,MATCH(E763,Sheet3!C$82:H$82,0),FALSE) * VLOOKUP(C763,Table8[],2,0)</f>
        <v>29400.000000000004</v>
      </c>
      <c r="K763">
        <f>ROUND(J763*VLOOKUP(F763,Sheet3!$A$106:$C$111,2,FALSE),0)</f>
        <v>8820</v>
      </c>
      <c r="L763">
        <f t="shared" si="77"/>
        <v>20580.000000000004</v>
      </c>
      <c r="M763">
        <f t="shared" si="78"/>
        <v>70</v>
      </c>
      <c r="N763" t="str">
        <f t="shared" si="81"/>
        <v>Yes</v>
      </c>
      <c r="O763">
        <f t="shared" si="82"/>
        <v>25</v>
      </c>
      <c r="P763" t="str">
        <f t="shared" si="83"/>
        <v>Black Friday</v>
      </c>
      <c r="Q763" t="s">
        <v>124</v>
      </c>
    </row>
    <row r="764" spans="1:17" x14ac:dyDescent="0.3">
      <c r="A764">
        <v>763</v>
      </c>
      <c r="B764" t="s">
        <v>25</v>
      </c>
      <c r="C764" s="1">
        <v>45962</v>
      </c>
      <c r="D764" t="s">
        <v>27</v>
      </c>
      <c r="E764" t="s">
        <v>34</v>
      </c>
      <c r="F764" s="2" t="s">
        <v>35</v>
      </c>
      <c r="G764" t="str">
        <f t="shared" si="79"/>
        <v>Vanilla 28-UK</v>
      </c>
      <c r="H764">
        <f t="shared" si="80"/>
        <v>2067</v>
      </c>
      <c r="I764">
        <f>VLOOKUP(G764,Table4[[SKU-COUNTRY2]:[Price in USD]],2,FALSE)</f>
        <v>101.6</v>
      </c>
      <c r="J764">
        <f>VLOOKUP(G764,Sheet3!$C$82:$I$100,MATCH(E764,Sheet3!C$82:H$82,0),FALSE) * VLOOKUP(C764,Table8[],2,0)</f>
        <v>210000</v>
      </c>
      <c r="K764">
        <f>ROUND(J764*VLOOKUP(F764,Sheet3!$A$106:$C$111,2,FALSE),0)</f>
        <v>63000</v>
      </c>
      <c r="L764">
        <f t="shared" si="77"/>
        <v>147000</v>
      </c>
      <c r="M764">
        <f t="shared" si="78"/>
        <v>70</v>
      </c>
      <c r="N764" t="str">
        <f t="shared" si="81"/>
        <v>Yes</v>
      </c>
      <c r="O764">
        <f t="shared" si="82"/>
        <v>25</v>
      </c>
      <c r="P764" t="str">
        <f t="shared" si="83"/>
        <v>Black Friday</v>
      </c>
      <c r="Q764" t="s">
        <v>124</v>
      </c>
    </row>
    <row r="765" spans="1:17" x14ac:dyDescent="0.3">
      <c r="A765">
        <v>764</v>
      </c>
      <c r="B765" t="s">
        <v>25</v>
      </c>
      <c r="C765" s="1">
        <v>45962</v>
      </c>
      <c r="D765" t="s">
        <v>27</v>
      </c>
      <c r="E765" t="s">
        <v>34</v>
      </c>
      <c r="F765" s="2" t="s">
        <v>36</v>
      </c>
      <c r="G765" t="str">
        <f t="shared" si="79"/>
        <v>Eden Juicy Apple 01-UK</v>
      </c>
      <c r="H765">
        <f t="shared" si="80"/>
        <v>1516</v>
      </c>
      <c r="I765">
        <f>VLOOKUP(G765,Table4[[SKU-COUNTRY2]:[Price in USD]],2,FALSE)</f>
        <v>101.6</v>
      </c>
      <c r="J765">
        <f>VLOOKUP(G765,Sheet3!$C$82:$I$100,MATCH(E765,Sheet3!C$82:H$82,0),FALSE) * VLOOKUP(C765,Table8[],2,0)</f>
        <v>154000</v>
      </c>
      <c r="K765">
        <f>ROUND(J765*VLOOKUP(F765,Sheet3!$A$106:$C$111,2,FALSE),0)</f>
        <v>47740</v>
      </c>
      <c r="L765">
        <f t="shared" si="77"/>
        <v>106260</v>
      </c>
      <c r="M765">
        <f t="shared" si="78"/>
        <v>69</v>
      </c>
      <c r="N765" t="str">
        <f t="shared" si="81"/>
        <v>Yes</v>
      </c>
      <c r="O765">
        <f t="shared" si="82"/>
        <v>25</v>
      </c>
      <c r="P765" t="str">
        <f t="shared" si="83"/>
        <v>Black Friday</v>
      </c>
      <c r="Q765" t="s">
        <v>124</v>
      </c>
    </row>
    <row r="766" spans="1:17" x14ac:dyDescent="0.3">
      <c r="A766">
        <v>765</v>
      </c>
      <c r="B766" t="s">
        <v>25</v>
      </c>
      <c r="C766" s="1">
        <v>45962</v>
      </c>
      <c r="D766" t="s">
        <v>27</v>
      </c>
      <c r="E766" t="s">
        <v>34</v>
      </c>
      <c r="F766" s="2" t="s">
        <v>37</v>
      </c>
      <c r="G766" t="str">
        <f t="shared" si="79"/>
        <v>Oudgasm Tobacco Oud 04-UK</v>
      </c>
      <c r="H766">
        <f t="shared" si="80"/>
        <v>834</v>
      </c>
      <c r="I766">
        <f>VLOOKUP(G766,Table4[[SKU-COUNTRY2]:[Price in USD]],2,FALSE)</f>
        <v>151.13</v>
      </c>
      <c r="J766">
        <f>VLOOKUP(G766,Sheet3!$C$82:$I$100,MATCH(E766,Sheet3!C$82:H$82,0),FALSE) * VLOOKUP(C766,Table8[],2,0)</f>
        <v>125999.99999999999</v>
      </c>
      <c r="K766">
        <f>ROUND(J766*VLOOKUP(F766,Sheet3!$A$106:$C$111,2,FALSE),0)</f>
        <v>44100</v>
      </c>
      <c r="L766">
        <f t="shared" si="77"/>
        <v>81899.999999999985</v>
      </c>
      <c r="M766">
        <f t="shared" si="78"/>
        <v>65</v>
      </c>
      <c r="N766" t="str">
        <f t="shared" si="81"/>
        <v>Yes</v>
      </c>
      <c r="O766">
        <f t="shared" si="82"/>
        <v>25</v>
      </c>
      <c r="P766" t="str">
        <f t="shared" si="83"/>
        <v>Black Friday</v>
      </c>
      <c r="Q766" t="s">
        <v>124</v>
      </c>
    </row>
    <row r="767" spans="1:17" x14ac:dyDescent="0.3">
      <c r="A767">
        <v>766</v>
      </c>
      <c r="B767" t="s">
        <v>25</v>
      </c>
      <c r="C767" s="1">
        <v>45962</v>
      </c>
      <c r="D767" t="s">
        <v>27</v>
      </c>
      <c r="E767" t="s">
        <v>34</v>
      </c>
      <c r="F767" s="2" t="s">
        <v>38</v>
      </c>
      <c r="G767" t="str">
        <f t="shared" si="79"/>
        <v>Yum Pistachio Gelato 33-UK</v>
      </c>
      <c r="H767">
        <f t="shared" si="80"/>
        <v>896</v>
      </c>
      <c r="I767">
        <f>VLOOKUP(G767,Table4[[SKU-COUNTRY2]:[Price in USD]],2,FALSE)</f>
        <v>101.6</v>
      </c>
      <c r="J767">
        <f>VLOOKUP(G767,Sheet3!$C$82:$I$100,MATCH(E767,Sheet3!C$82:H$82,0),FALSE) * VLOOKUP(C767,Table8[],2,0)</f>
        <v>91000</v>
      </c>
      <c r="K767">
        <f>ROUND(J767*VLOOKUP(F767,Sheet3!$A$106:$C$111,2,FALSE),0)</f>
        <v>28210</v>
      </c>
      <c r="L767">
        <f t="shared" si="77"/>
        <v>62790</v>
      </c>
      <c r="M767">
        <f t="shared" si="78"/>
        <v>69</v>
      </c>
      <c r="N767" t="str">
        <f t="shared" si="81"/>
        <v>Yes</v>
      </c>
      <c r="O767">
        <f t="shared" si="82"/>
        <v>25</v>
      </c>
      <c r="P767" t="str">
        <f t="shared" si="83"/>
        <v>Black Friday</v>
      </c>
      <c r="Q767" t="s">
        <v>124</v>
      </c>
    </row>
    <row r="768" spans="1:17" x14ac:dyDescent="0.3">
      <c r="A768">
        <v>767</v>
      </c>
      <c r="B768" t="s">
        <v>25</v>
      </c>
      <c r="C768" s="1">
        <v>45962</v>
      </c>
      <c r="D768" t="s">
        <v>27</v>
      </c>
      <c r="E768" t="s">
        <v>34</v>
      </c>
      <c r="F768" s="2" t="s">
        <v>39</v>
      </c>
      <c r="G768" t="str">
        <f t="shared" si="79"/>
        <v>Freedom Musk Santal 34-UK</v>
      </c>
      <c r="H768">
        <f t="shared" si="80"/>
        <v>689</v>
      </c>
      <c r="I768">
        <f>VLOOKUP(G768,Table4[[SKU-COUNTRY2]:[Price in USD]],2,FALSE)</f>
        <v>101.6</v>
      </c>
      <c r="J768">
        <f>VLOOKUP(G768,Sheet3!$C$82:$I$100,MATCH(E768,Sheet3!C$82:H$82,0),FALSE) * VLOOKUP(C768,Table8[],2,0)</f>
        <v>70000</v>
      </c>
      <c r="K768">
        <f>ROUND(J768*VLOOKUP(F768,Sheet3!$A$106:$C$111,2,FALSE),0)</f>
        <v>22400</v>
      </c>
      <c r="L768">
        <f t="shared" si="77"/>
        <v>47600</v>
      </c>
      <c r="M768">
        <f t="shared" si="78"/>
        <v>68</v>
      </c>
      <c r="N768" t="str">
        <f t="shared" si="81"/>
        <v>Yes</v>
      </c>
      <c r="O768">
        <f t="shared" si="82"/>
        <v>25</v>
      </c>
      <c r="P768" t="str">
        <f t="shared" si="83"/>
        <v>Black Friday</v>
      </c>
      <c r="Q768" t="s">
        <v>124</v>
      </c>
    </row>
    <row r="769" spans="1:17" x14ac:dyDescent="0.3">
      <c r="A769">
        <v>768</v>
      </c>
      <c r="B769" t="s">
        <v>25</v>
      </c>
      <c r="C769" s="1">
        <v>45962</v>
      </c>
      <c r="D769" t="s">
        <v>27</v>
      </c>
      <c r="E769" t="s">
        <v>34</v>
      </c>
      <c r="F769" s="2" t="s">
        <v>40</v>
      </c>
      <c r="G769" t="str">
        <f t="shared" si="79"/>
        <v>Musk 12-UK</v>
      </c>
      <c r="H769">
        <f t="shared" si="80"/>
        <v>482</v>
      </c>
      <c r="I769">
        <f>VLOOKUP(G769,Table4[[SKU-COUNTRY2]:[Price in USD]],2,FALSE)</f>
        <v>101.6</v>
      </c>
      <c r="J769">
        <f>VLOOKUP(G769,Sheet3!$C$82:$I$100,MATCH(E769,Sheet3!C$82:H$82,0),FALSE) * VLOOKUP(C769,Table8[],2,0)</f>
        <v>49000</v>
      </c>
      <c r="K769">
        <f>ROUND(J769*VLOOKUP(F769,Sheet3!$A$106:$C$111,2,FALSE),0)</f>
        <v>14700</v>
      </c>
      <c r="L769">
        <f t="shared" si="77"/>
        <v>34300</v>
      </c>
      <c r="M769">
        <f t="shared" si="78"/>
        <v>70</v>
      </c>
      <c r="N769" t="str">
        <f t="shared" si="81"/>
        <v>Yes</v>
      </c>
      <c r="O769">
        <f t="shared" si="82"/>
        <v>25</v>
      </c>
      <c r="P769" t="str">
        <f t="shared" si="83"/>
        <v>Black Friday</v>
      </c>
      <c r="Q769" t="s">
        <v>124</v>
      </c>
    </row>
    <row r="770" spans="1:17" x14ac:dyDescent="0.3">
      <c r="A770">
        <v>769</v>
      </c>
      <c r="B770" t="s">
        <v>25</v>
      </c>
      <c r="C770" s="1">
        <v>45962</v>
      </c>
      <c r="D770" t="s">
        <v>29</v>
      </c>
      <c r="E770" t="s">
        <v>32</v>
      </c>
      <c r="F770" s="2" t="s">
        <v>35</v>
      </c>
      <c r="G770" t="str">
        <f t="shared" si="79"/>
        <v>Vanilla 28-UAE</v>
      </c>
      <c r="H770">
        <f t="shared" si="80"/>
        <v>2778</v>
      </c>
      <c r="I770">
        <f>VLOOKUP(G770,Table4[[SKU-COUNTRY2]:[Price in USD]],2,FALSE)</f>
        <v>113.4</v>
      </c>
      <c r="J770">
        <f>VLOOKUP(G770,Sheet3!$C$82:$I$100,MATCH(E770,Sheet3!C$82:H$82,0),FALSE) * VLOOKUP(C770,Table8[],2,0)</f>
        <v>315000</v>
      </c>
      <c r="K770">
        <f>ROUND(J770*VLOOKUP(F770,Sheet3!$A$106:$C$111,2,FALSE),0)</f>
        <v>94500</v>
      </c>
      <c r="L770">
        <f t="shared" ref="L770:L833" si="84">J770-K770</f>
        <v>220500</v>
      </c>
      <c r="M770">
        <f t="shared" ref="M770:M833" si="85">ROUND(L770/J770*100, 1)</f>
        <v>70</v>
      </c>
      <c r="N770" t="str">
        <f t="shared" si="81"/>
        <v>No</v>
      </c>
      <c r="O770">
        <f t="shared" si="82"/>
        <v>0</v>
      </c>
      <c r="P770" t="str">
        <f t="shared" si="83"/>
        <v>None</v>
      </c>
      <c r="Q770" t="s">
        <v>124</v>
      </c>
    </row>
    <row r="771" spans="1:17" x14ac:dyDescent="0.3">
      <c r="A771">
        <v>770</v>
      </c>
      <c r="B771" t="s">
        <v>25</v>
      </c>
      <c r="C771" s="1">
        <v>45962</v>
      </c>
      <c r="D771" t="s">
        <v>29</v>
      </c>
      <c r="E771" t="s">
        <v>32</v>
      </c>
      <c r="F771" s="2" t="s">
        <v>36</v>
      </c>
      <c r="G771" t="str">
        <f t="shared" ref="G771:G834" si="86">_xlfn.CONCAT(F771,"-",D771,)</f>
        <v>Eden Juicy Apple 01-UAE</v>
      </c>
      <c r="H771">
        <f t="shared" ref="H771:H834" si="87">ROUND(J771/I771,0)</f>
        <v>2083</v>
      </c>
      <c r="I771">
        <f>VLOOKUP(G771,Table4[[SKU-COUNTRY2]:[Price in USD]],2,FALSE)</f>
        <v>113.4</v>
      </c>
      <c r="J771">
        <f>VLOOKUP(G771,Sheet3!$C$82:$I$100,MATCH(E771,Sheet3!C$82:H$82,0),FALSE) * VLOOKUP(C771,Table8[],2,0)</f>
        <v>236249.99999999997</v>
      </c>
      <c r="K771">
        <f>ROUND(J771*VLOOKUP(F771,Sheet3!$A$106:$C$111,2,FALSE),0)</f>
        <v>73238</v>
      </c>
      <c r="L771">
        <f t="shared" si="84"/>
        <v>163011.99999999997</v>
      </c>
      <c r="M771">
        <f t="shared" si="85"/>
        <v>69</v>
      </c>
      <c r="N771" t="str">
        <f t="shared" ref="N771:N834" si="88">IF(OR(
    MONTH(C771)=2,
    AND(MONTH(C771)=3, D771="UAE"),
    AND(MONTH(C771)=6, D771="UAE"),
    AND(MONTH(C771)=7, OR(D771="USA", D771="UK")),
    MONTH(C771)=9,
    AND(MONTH(C771)=11, OR(D771="USA", D771="UK"))
), "Yes", "No")</f>
        <v>No</v>
      </c>
      <c r="O771">
        <f t="shared" ref="O771:O834" si="89">IF(MONTH(C771)=2, 15,
IF(AND(MONTH(C771)=3, D771="UAE"), 20,
IF(AND(MONTH(C771)=6, D771="UAE"), 15,
IF(AND(MONTH(C771)=7, OR(D771="USA", D771="UK")), 20,
IF(AND(MONTH(C771)=11, OR(D771="USA", D771="UK")), 25,
0)))))</f>
        <v>0</v>
      </c>
      <c r="P771" t="str">
        <f t="shared" ref="P771:P834" si="90">IF(MONTH(C771)=2, "Valentine's Day",
IF(AND(MONTH(C771)=3, D771="UAE"), "Eid Al Fitr",
IF(AND(MONTH(C771)=6, D771="UAE"), "Eid Al Adha",
IF(AND(MONTH(C771)=7, OR(D771="USA", D771="UK")), "Summer Sale",
IF(MONTH(C771)=9, "Freedom Launch",
IF(AND(MONTH(C771)=11, OR(D771="USA", D771="UK")), "Black Friday",
"None"))))))</f>
        <v>None</v>
      </c>
      <c r="Q771" t="s">
        <v>124</v>
      </c>
    </row>
    <row r="772" spans="1:17" x14ac:dyDescent="0.3">
      <c r="A772">
        <v>771</v>
      </c>
      <c r="B772" t="s">
        <v>25</v>
      </c>
      <c r="C772" s="1">
        <v>45962</v>
      </c>
      <c r="D772" t="s">
        <v>29</v>
      </c>
      <c r="E772" t="s">
        <v>32</v>
      </c>
      <c r="F772" s="2" t="s">
        <v>37</v>
      </c>
      <c r="G772" t="str">
        <f t="shared" si="86"/>
        <v>Oudgasm Tobacco Oud 04-UAE</v>
      </c>
      <c r="H772">
        <f t="shared" si="87"/>
        <v>3705</v>
      </c>
      <c r="I772">
        <f>VLOOKUP(G772,Table4[[SKU-COUNTRY2]:[Price in USD]],2,FALSE)</f>
        <v>148.77000000000001</v>
      </c>
      <c r="J772">
        <f>VLOOKUP(G772,Sheet3!$C$82:$I$100,MATCH(E772,Sheet3!C$82:H$82,0),FALSE) * VLOOKUP(C772,Table8[],2,0)</f>
        <v>551250</v>
      </c>
      <c r="K772">
        <f>ROUND(J772*VLOOKUP(F772,Sheet3!$A$106:$C$111,2,FALSE),0)</f>
        <v>192938</v>
      </c>
      <c r="L772">
        <f t="shared" si="84"/>
        <v>358312</v>
      </c>
      <c r="M772">
        <f t="shared" si="85"/>
        <v>65</v>
      </c>
      <c r="N772" t="str">
        <f t="shared" si="88"/>
        <v>No</v>
      </c>
      <c r="O772">
        <f t="shared" si="89"/>
        <v>0</v>
      </c>
      <c r="P772" t="str">
        <f t="shared" si="90"/>
        <v>None</v>
      </c>
      <c r="Q772" t="s">
        <v>124</v>
      </c>
    </row>
    <row r="773" spans="1:17" x14ac:dyDescent="0.3">
      <c r="A773">
        <v>772</v>
      </c>
      <c r="B773" t="s">
        <v>25</v>
      </c>
      <c r="C773" s="1">
        <v>45962</v>
      </c>
      <c r="D773" t="s">
        <v>29</v>
      </c>
      <c r="E773" t="s">
        <v>32</v>
      </c>
      <c r="F773" s="2" t="s">
        <v>38</v>
      </c>
      <c r="G773" t="str">
        <f t="shared" si="86"/>
        <v>Yum Pistachio Gelato 33-UAE</v>
      </c>
      <c r="H773">
        <f t="shared" si="87"/>
        <v>1667</v>
      </c>
      <c r="I773">
        <f>VLOOKUP(G773,Table4[[SKU-COUNTRY2]:[Price in USD]],2,FALSE)</f>
        <v>113.4</v>
      </c>
      <c r="J773">
        <f>VLOOKUP(G773,Sheet3!$C$82:$I$100,MATCH(E773,Sheet3!C$82:H$82,0),FALSE) * VLOOKUP(C773,Table8[],2,0)</f>
        <v>189000</v>
      </c>
      <c r="K773">
        <f>ROUND(J773*VLOOKUP(F773,Sheet3!$A$106:$C$111,2,FALSE),0)</f>
        <v>58590</v>
      </c>
      <c r="L773">
        <f t="shared" si="84"/>
        <v>130410</v>
      </c>
      <c r="M773">
        <f t="shared" si="85"/>
        <v>69</v>
      </c>
      <c r="N773" t="str">
        <f t="shared" si="88"/>
        <v>No</v>
      </c>
      <c r="O773">
        <f t="shared" si="89"/>
        <v>0</v>
      </c>
      <c r="P773" t="str">
        <f t="shared" si="90"/>
        <v>None</v>
      </c>
      <c r="Q773" t="s">
        <v>124</v>
      </c>
    </row>
    <row r="774" spans="1:17" x14ac:dyDescent="0.3">
      <c r="A774">
        <v>773</v>
      </c>
      <c r="B774" t="s">
        <v>25</v>
      </c>
      <c r="C774" s="1">
        <v>45962</v>
      </c>
      <c r="D774" t="s">
        <v>29</v>
      </c>
      <c r="E774" t="s">
        <v>32</v>
      </c>
      <c r="F774" s="2" t="s">
        <v>39</v>
      </c>
      <c r="G774" t="str">
        <f t="shared" si="86"/>
        <v>Freedom Musk Santal 34-UAE</v>
      </c>
      <c r="H774">
        <f t="shared" si="87"/>
        <v>1389</v>
      </c>
      <c r="I774">
        <f>VLOOKUP(G774,Table4[[SKU-COUNTRY2]:[Price in USD]],2,FALSE)</f>
        <v>113.4</v>
      </c>
      <c r="J774">
        <f>VLOOKUP(G774,Sheet3!$C$82:$I$100,MATCH(E774,Sheet3!C$82:H$82,0),FALSE) * VLOOKUP(C774,Table8[],2,0)</f>
        <v>157500</v>
      </c>
      <c r="K774">
        <f>ROUND(J774*VLOOKUP(F774,Sheet3!$A$106:$C$111,2,FALSE),0)</f>
        <v>50400</v>
      </c>
      <c r="L774">
        <f t="shared" si="84"/>
        <v>107100</v>
      </c>
      <c r="M774">
        <f t="shared" si="85"/>
        <v>68</v>
      </c>
      <c r="N774" t="str">
        <f t="shared" si="88"/>
        <v>No</v>
      </c>
      <c r="O774">
        <f t="shared" si="89"/>
        <v>0</v>
      </c>
      <c r="P774" t="str">
        <f t="shared" si="90"/>
        <v>None</v>
      </c>
      <c r="Q774" t="s">
        <v>124</v>
      </c>
    </row>
    <row r="775" spans="1:17" x14ac:dyDescent="0.3">
      <c r="A775">
        <v>774</v>
      </c>
      <c r="B775" t="s">
        <v>25</v>
      </c>
      <c r="C775" s="1">
        <v>45962</v>
      </c>
      <c r="D775" t="s">
        <v>29</v>
      </c>
      <c r="E775" t="s">
        <v>32</v>
      </c>
      <c r="F775" s="2" t="s">
        <v>40</v>
      </c>
      <c r="G775" t="str">
        <f t="shared" si="86"/>
        <v>Musk 12-UAE</v>
      </c>
      <c r="H775">
        <f t="shared" si="87"/>
        <v>1111</v>
      </c>
      <c r="I775">
        <f>VLOOKUP(G775,Table4[[SKU-COUNTRY2]:[Price in USD]],2,FALSE)</f>
        <v>113.4</v>
      </c>
      <c r="J775">
        <f>VLOOKUP(G775,Sheet3!$C$82:$I$100,MATCH(E775,Sheet3!C$82:H$82,0),FALSE) * VLOOKUP(C775,Table8[],2,0)</f>
        <v>125999.99999999999</v>
      </c>
      <c r="K775">
        <f>ROUND(J775*VLOOKUP(F775,Sheet3!$A$106:$C$111,2,FALSE),0)</f>
        <v>37800</v>
      </c>
      <c r="L775">
        <f t="shared" si="84"/>
        <v>88199.999999999985</v>
      </c>
      <c r="M775">
        <f t="shared" si="85"/>
        <v>70</v>
      </c>
      <c r="N775" t="str">
        <f t="shared" si="88"/>
        <v>No</v>
      </c>
      <c r="O775">
        <f t="shared" si="89"/>
        <v>0</v>
      </c>
      <c r="P775" t="str">
        <f t="shared" si="90"/>
        <v>None</v>
      </c>
      <c r="Q775" t="s">
        <v>124</v>
      </c>
    </row>
    <row r="776" spans="1:17" x14ac:dyDescent="0.3">
      <c r="A776">
        <v>775</v>
      </c>
      <c r="B776" t="s">
        <v>25</v>
      </c>
      <c r="C776" s="1">
        <v>45962</v>
      </c>
      <c r="D776" t="s">
        <v>29</v>
      </c>
      <c r="E776" t="s">
        <v>31</v>
      </c>
      <c r="F776" s="2" t="s">
        <v>35</v>
      </c>
      <c r="G776" t="str">
        <f t="shared" si="86"/>
        <v>Vanilla 28-UAE</v>
      </c>
      <c r="H776">
        <f t="shared" si="87"/>
        <v>1543</v>
      </c>
      <c r="I776">
        <f>VLOOKUP(G776,Table4[[SKU-COUNTRY2]:[Price in USD]],2,FALSE)</f>
        <v>113.4</v>
      </c>
      <c r="J776">
        <f>VLOOKUP(G776,Sheet3!$C$82:$I$100,MATCH(E776,Sheet3!C$82:H$82,0),FALSE) * VLOOKUP(C776,Table8[],2,0)</f>
        <v>175000</v>
      </c>
      <c r="K776">
        <f>ROUND(J776*VLOOKUP(F776,Sheet3!$A$106:$C$111,2,FALSE),0)</f>
        <v>52500</v>
      </c>
      <c r="L776">
        <f t="shared" si="84"/>
        <v>122500</v>
      </c>
      <c r="M776">
        <f t="shared" si="85"/>
        <v>70</v>
      </c>
      <c r="N776" t="str">
        <f t="shared" si="88"/>
        <v>No</v>
      </c>
      <c r="O776">
        <f t="shared" si="89"/>
        <v>0</v>
      </c>
      <c r="P776" t="str">
        <f t="shared" si="90"/>
        <v>None</v>
      </c>
      <c r="Q776" t="s">
        <v>124</v>
      </c>
    </row>
    <row r="777" spans="1:17" x14ac:dyDescent="0.3">
      <c r="A777">
        <v>776</v>
      </c>
      <c r="B777" t="s">
        <v>25</v>
      </c>
      <c r="C777" s="1">
        <v>45962</v>
      </c>
      <c r="D777" t="s">
        <v>29</v>
      </c>
      <c r="E777" t="s">
        <v>31</v>
      </c>
      <c r="F777" s="2" t="s">
        <v>36</v>
      </c>
      <c r="G777" t="str">
        <f t="shared" si="86"/>
        <v>Eden Juicy Apple 01-UAE</v>
      </c>
      <c r="H777">
        <f t="shared" si="87"/>
        <v>1157</v>
      </c>
      <c r="I777">
        <f>VLOOKUP(G777,Table4[[SKU-COUNTRY2]:[Price in USD]],2,FALSE)</f>
        <v>113.4</v>
      </c>
      <c r="J777">
        <f>VLOOKUP(G777,Sheet3!$C$82:$I$100,MATCH(E777,Sheet3!C$82:H$82,0),FALSE) * VLOOKUP(C777,Table8[],2,0)</f>
        <v>131250</v>
      </c>
      <c r="K777">
        <f>ROUND(J777*VLOOKUP(F777,Sheet3!$A$106:$C$111,2,FALSE),0)</f>
        <v>40688</v>
      </c>
      <c r="L777">
        <f t="shared" si="84"/>
        <v>90562</v>
      </c>
      <c r="M777">
        <f t="shared" si="85"/>
        <v>69</v>
      </c>
      <c r="N777" t="str">
        <f t="shared" si="88"/>
        <v>No</v>
      </c>
      <c r="O777">
        <f t="shared" si="89"/>
        <v>0</v>
      </c>
      <c r="P777" t="str">
        <f t="shared" si="90"/>
        <v>None</v>
      </c>
      <c r="Q777" t="s">
        <v>124</v>
      </c>
    </row>
    <row r="778" spans="1:17" x14ac:dyDescent="0.3">
      <c r="A778">
        <v>777</v>
      </c>
      <c r="B778" t="s">
        <v>25</v>
      </c>
      <c r="C778" s="1">
        <v>45962</v>
      </c>
      <c r="D778" t="s">
        <v>29</v>
      </c>
      <c r="E778" t="s">
        <v>31</v>
      </c>
      <c r="F778" s="2" t="s">
        <v>37</v>
      </c>
      <c r="G778" t="str">
        <f t="shared" si="86"/>
        <v>Oudgasm Tobacco Oud 04-UAE</v>
      </c>
      <c r="H778">
        <f t="shared" si="87"/>
        <v>2059</v>
      </c>
      <c r="I778">
        <f>VLOOKUP(G778,Table4[[SKU-COUNTRY2]:[Price in USD]],2,FALSE)</f>
        <v>148.77000000000001</v>
      </c>
      <c r="J778">
        <f>VLOOKUP(G778,Sheet3!$C$82:$I$100,MATCH(E778,Sheet3!C$82:H$82,0),FALSE) * VLOOKUP(C778,Table8[],2,0)</f>
        <v>306250</v>
      </c>
      <c r="K778">
        <f>ROUND(J778*VLOOKUP(F778,Sheet3!$A$106:$C$111,2,FALSE),0)</f>
        <v>107188</v>
      </c>
      <c r="L778">
        <f t="shared" si="84"/>
        <v>199062</v>
      </c>
      <c r="M778">
        <f t="shared" si="85"/>
        <v>65</v>
      </c>
      <c r="N778" t="str">
        <f t="shared" si="88"/>
        <v>No</v>
      </c>
      <c r="O778">
        <f t="shared" si="89"/>
        <v>0</v>
      </c>
      <c r="P778" t="str">
        <f t="shared" si="90"/>
        <v>None</v>
      </c>
      <c r="Q778" t="s">
        <v>124</v>
      </c>
    </row>
    <row r="779" spans="1:17" x14ac:dyDescent="0.3">
      <c r="A779">
        <v>778</v>
      </c>
      <c r="B779" t="s">
        <v>25</v>
      </c>
      <c r="C779" s="1">
        <v>45962</v>
      </c>
      <c r="D779" t="s">
        <v>29</v>
      </c>
      <c r="E779" t="s">
        <v>31</v>
      </c>
      <c r="F779" s="2" t="s">
        <v>38</v>
      </c>
      <c r="G779" t="str">
        <f t="shared" si="86"/>
        <v>Yum Pistachio Gelato 33-UAE</v>
      </c>
      <c r="H779">
        <f t="shared" si="87"/>
        <v>926</v>
      </c>
      <c r="I779">
        <f>VLOOKUP(G779,Table4[[SKU-COUNTRY2]:[Price in USD]],2,FALSE)</f>
        <v>113.4</v>
      </c>
      <c r="J779">
        <f>VLOOKUP(G779,Sheet3!$C$82:$I$100,MATCH(E779,Sheet3!C$82:H$82,0),FALSE) * VLOOKUP(C779,Table8[],2,0)</f>
        <v>105000</v>
      </c>
      <c r="K779">
        <f>ROUND(J779*VLOOKUP(F779,Sheet3!$A$106:$C$111,2,FALSE),0)</f>
        <v>32550</v>
      </c>
      <c r="L779">
        <f t="shared" si="84"/>
        <v>72450</v>
      </c>
      <c r="M779">
        <f t="shared" si="85"/>
        <v>69</v>
      </c>
      <c r="N779" t="str">
        <f t="shared" si="88"/>
        <v>No</v>
      </c>
      <c r="O779">
        <f t="shared" si="89"/>
        <v>0</v>
      </c>
      <c r="P779" t="str">
        <f t="shared" si="90"/>
        <v>None</v>
      </c>
      <c r="Q779" t="s">
        <v>124</v>
      </c>
    </row>
    <row r="780" spans="1:17" x14ac:dyDescent="0.3">
      <c r="A780">
        <v>779</v>
      </c>
      <c r="B780" t="s">
        <v>25</v>
      </c>
      <c r="C780" s="1">
        <v>45962</v>
      </c>
      <c r="D780" t="s">
        <v>29</v>
      </c>
      <c r="E780" t="s">
        <v>31</v>
      </c>
      <c r="F780" s="2" t="s">
        <v>39</v>
      </c>
      <c r="G780" t="str">
        <f t="shared" si="86"/>
        <v>Freedom Musk Santal 34-UAE</v>
      </c>
      <c r="H780">
        <f t="shared" si="87"/>
        <v>772</v>
      </c>
      <c r="I780">
        <f>VLOOKUP(G780,Table4[[SKU-COUNTRY2]:[Price in USD]],2,FALSE)</f>
        <v>113.4</v>
      </c>
      <c r="J780">
        <f>VLOOKUP(G780,Sheet3!$C$82:$I$100,MATCH(E780,Sheet3!C$82:H$82,0),FALSE) * VLOOKUP(C780,Table8[],2,0)</f>
        <v>87500</v>
      </c>
      <c r="K780">
        <f>ROUND(J780*VLOOKUP(F780,Sheet3!$A$106:$C$111,2,FALSE),0)</f>
        <v>28000</v>
      </c>
      <c r="L780">
        <f t="shared" si="84"/>
        <v>59500</v>
      </c>
      <c r="M780">
        <f t="shared" si="85"/>
        <v>68</v>
      </c>
      <c r="N780" t="str">
        <f t="shared" si="88"/>
        <v>No</v>
      </c>
      <c r="O780">
        <f t="shared" si="89"/>
        <v>0</v>
      </c>
      <c r="P780" t="str">
        <f t="shared" si="90"/>
        <v>None</v>
      </c>
      <c r="Q780" t="s">
        <v>124</v>
      </c>
    </row>
    <row r="781" spans="1:17" x14ac:dyDescent="0.3">
      <c r="A781">
        <v>780</v>
      </c>
      <c r="B781" t="s">
        <v>25</v>
      </c>
      <c r="C781" s="1">
        <v>45962</v>
      </c>
      <c r="D781" t="s">
        <v>29</v>
      </c>
      <c r="E781" t="s">
        <v>31</v>
      </c>
      <c r="F781" s="2" t="s">
        <v>40</v>
      </c>
      <c r="G781" t="str">
        <f t="shared" si="86"/>
        <v>Musk 12-UAE</v>
      </c>
      <c r="H781">
        <f t="shared" si="87"/>
        <v>617</v>
      </c>
      <c r="I781">
        <f>VLOOKUP(G781,Table4[[SKU-COUNTRY2]:[Price in USD]],2,FALSE)</f>
        <v>113.4</v>
      </c>
      <c r="J781">
        <f>VLOOKUP(G781,Sheet3!$C$82:$I$100,MATCH(E781,Sheet3!C$82:H$82,0),FALSE) * VLOOKUP(C781,Table8[],2,0)</f>
        <v>70000</v>
      </c>
      <c r="K781">
        <f>ROUND(J781*VLOOKUP(F781,Sheet3!$A$106:$C$111,2,FALSE),0)</f>
        <v>21000</v>
      </c>
      <c r="L781">
        <f t="shared" si="84"/>
        <v>49000</v>
      </c>
      <c r="M781">
        <f t="shared" si="85"/>
        <v>70</v>
      </c>
      <c r="N781" t="str">
        <f t="shared" si="88"/>
        <v>No</v>
      </c>
      <c r="O781">
        <f t="shared" si="89"/>
        <v>0</v>
      </c>
      <c r="P781" t="str">
        <f t="shared" si="90"/>
        <v>None</v>
      </c>
      <c r="Q781" t="s">
        <v>124</v>
      </c>
    </row>
    <row r="782" spans="1:17" x14ac:dyDescent="0.3">
      <c r="A782">
        <v>781</v>
      </c>
      <c r="B782" t="s">
        <v>25</v>
      </c>
      <c r="C782" s="1">
        <v>45962</v>
      </c>
      <c r="D782" t="s">
        <v>29</v>
      </c>
      <c r="E782" t="s">
        <v>33</v>
      </c>
      <c r="F782" s="2" t="s">
        <v>35</v>
      </c>
      <c r="G782" t="str">
        <f t="shared" si="86"/>
        <v>Vanilla 28-UAE</v>
      </c>
      <c r="H782">
        <f t="shared" si="87"/>
        <v>1235</v>
      </c>
      <c r="I782">
        <f>VLOOKUP(G782,Table4[[SKU-COUNTRY2]:[Price in USD]],2,FALSE)</f>
        <v>113.4</v>
      </c>
      <c r="J782">
        <f>VLOOKUP(G782,Sheet3!$C$82:$I$100,MATCH(E782,Sheet3!C$82:H$82,0),FALSE) * VLOOKUP(C782,Table8[],2,0)</f>
        <v>140000</v>
      </c>
      <c r="K782">
        <f>ROUND(J782*VLOOKUP(F782,Sheet3!$A$106:$C$111,2,FALSE),0)</f>
        <v>42000</v>
      </c>
      <c r="L782">
        <f t="shared" si="84"/>
        <v>98000</v>
      </c>
      <c r="M782">
        <f t="shared" si="85"/>
        <v>70</v>
      </c>
      <c r="N782" t="str">
        <f t="shared" si="88"/>
        <v>No</v>
      </c>
      <c r="O782">
        <f t="shared" si="89"/>
        <v>0</v>
      </c>
      <c r="P782" t="str">
        <f t="shared" si="90"/>
        <v>None</v>
      </c>
      <c r="Q782" t="s">
        <v>124</v>
      </c>
    </row>
    <row r="783" spans="1:17" x14ac:dyDescent="0.3">
      <c r="A783">
        <v>782</v>
      </c>
      <c r="B783" t="s">
        <v>25</v>
      </c>
      <c r="C783" s="1">
        <v>45962</v>
      </c>
      <c r="D783" t="s">
        <v>29</v>
      </c>
      <c r="E783" t="s">
        <v>33</v>
      </c>
      <c r="F783" s="2" t="s">
        <v>36</v>
      </c>
      <c r="G783" t="str">
        <f t="shared" si="86"/>
        <v>Eden Juicy Apple 01-UAE</v>
      </c>
      <c r="H783">
        <f t="shared" si="87"/>
        <v>926</v>
      </c>
      <c r="I783">
        <f>VLOOKUP(G783,Table4[[SKU-COUNTRY2]:[Price in USD]],2,FALSE)</f>
        <v>113.4</v>
      </c>
      <c r="J783">
        <f>VLOOKUP(G783,Sheet3!$C$82:$I$100,MATCH(E783,Sheet3!C$82:H$82,0),FALSE) * VLOOKUP(C783,Table8[],2,0)</f>
        <v>105000</v>
      </c>
      <c r="K783">
        <f>ROUND(J783*VLOOKUP(F783,Sheet3!$A$106:$C$111,2,FALSE),0)</f>
        <v>32550</v>
      </c>
      <c r="L783">
        <f t="shared" si="84"/>
        <v>72450</v>
      </c>
      <c r="M783">
        <f t="shared" si="85"/>
        <v>69</v>
      </c>
      <c r="N783" t="str">
        <f t="shared" si="88"/>
        <v>No</v>
      </c>
      <c r="O783">
        <f t="shared" si="89"/>
        <v>0</v>
      </c>
      <c r="P783" t="str">
        <f t="shared" si="90"/>
        <v>None</v>
      </c>
      <c r="Q783" t="s">
        <v>124</v>
      </c>
    </row>
    <row r="784" spans="1:17" x14ac:dyDescent="0.3">
      <c r="A784">
        <v>783</v>
      </c>
      <c r="B784" t="s">
        <v>25</v>
      </c>
      <c r="C784" s="1">
        <v>45962</v>
      </c>
      <c r="D784" t="s">
        <v>29</v>
      </c>
      <c r="E784" t="s">
        <v>33</v>
      </c>
      <c r="F784" s="2" t="s">
        <v>37</v>
      </c>
      <c r="G784" t="str">
        <f t="shared" si="86"/>
        <v>Oudgasm Tobacco Oud 04-UAE</v>
      </c>
      <c r="H784">
        <f t="shared" si="87"/>
        <v>1647</v>
      </c>
      <c r="I784">
        <f>VLOOKUP(G784,Table4[[SKU-COUNTRY2]:[Price in USD]],2,FALSE)</f>
        <v>148.77000000000001</v>
      </c>
      <c r="J784">
        <f>VLOOKUP(G784,Sheet3!$C$82:$I$100,MATCH(E784,Sheet3!C$82:H$82,0),FALSE) * VLOOKUP(C784,Table8[],2,0)</f>
        <v>244999.99999999997</v>
      </c>
      <c r="K784">
        <f>ROUND(J784*VLOOKUP(F784,Sheet3!$A$106:$C$111,2,FALSE),0)</f>
        <v>85750</v>
      </c>
      <c r="L784">
        <f t="shared" si="84"/>
        <v>159249.99999999997</v>
      </c>
      <c r="M784">
        <f t="shared" si="85"/>
        <v>65</v>
      </c>
      <c r="N784" t="str">
        <f t="shared" si="88"/>
        <v>No</v>
      </c>
      <c r="O784">
        <f t="shared" si="89"/>
        <v>0</v>
      </c>
      <c r="P784" t="str">
        <f t="shared" si="90"/>
        <v>None</v>
      </c>
      <c r="Q784" t="s">
        <v>124</v>
      </c>
    </row>
    <row r="785" spans="1:17" x14ac:dyDescent="0.3">
      <c r="A785">
        <v>784</v>
      </c>
      <c r="B785" t="s">
        <v>25</v>
      </c>
      <c r="C785" s="1">
        <v>45962</v>
      </c>
      <c r="D785" t="s">
        <v>29</v>
      </c>
      <c r="E785" t="s">
        <v>33</v>
      </c>
      <c r="F785" s="2" t="s">
        <v>38</v>
      </c>
      <c r="G785" t="str">
        <f t="shared" si="86"/>
        <v>Yum Pistachio Gelato 33-UAE</v>
      </c>
      <c r="H785">
        <f t="shared" si="87"/>
        <v>741</v>
      </c>
      <c r="I785">
        <f>VLOOKUP(G785,Table4[[SKU-COUNTRY2]:[Price in USD]],2,FALSE)</f>
        <v>113.4</v>
      </c>
      <c r="J785">
        <f>VLOOKUP(G785,Sheet3!$C$82:$I$100,MATCH(E785,Sheet3!C$82:H$82,0),FALSE) * VLOOKUP(C785,Table8[],2,0)</f>
        <v>84000</v>
      </c>
      <c r="K785">
        <f>ROUND(J785*VLOOKUP(F785,Sheet3!$A$106:$C$111,2,FALSE),0)</f>
        <v>26040</v>
      </c>
      <c r="L785">
        <f t="shared" si="84"/>
        <v>57960</v>
      </c>
      <c r="M785">
        <f t="shared" si="85"/>
        <v>69</v>
      </c>
      <c r="N785" t="str">
        <f t="shared" si="88"/>
        <v>No</v>
      </c>
      <c r="O785">
        <f t="shared" si="89"/>
        <v>0</v>
      </c>
      <c r="P785" t="str">
        <f t="shared" si="90"/>
        <v>None</v>
      </c>
      <c r="Q785" t="s">
        <v>124</v>
      </c>
    </row>
    <row r="786" spans="1:17" x14ac:dyDescent="0.3">
      <c r="A786">
        <v>785</v>
      </c>
      <c r="B786" t="s">
        <v>25</v>
      </c>
      <c r="C786" s="1">
        <v>45962</v>
      </c>
      <c r="D786" t="s">
        <v>29</v>
      </c>
      <c r="E786" t="s">
        <v>33</v>
      </c>
      <c r="F786" s="2" t="s">
        <v>39</v>
      </c>
      <c r="G786" t="str">
        <f t="shared" si="86"/>
        <v>Freedom Musk Santal 34-UAE</v>
      </c>
      <c r="H786">
        <f t="shared" si="87"/>
        <v>617</v>
      </c>
      <c r="I786">
        <f>VLOOKUP(G786,Table4[[SKU-COUNTRY2]:[Price in USD]],2,FALSE)</f>
        <v>113.4</v>
      </c>
      <c r="J786">
        <f>VLOOKUP(G786,Sheet3!$C$82:$I$100,MATCH(E786,Sheet3!C$82:H$82,0),FALSE) * VLOOKUP(C786,Table8[],2,0)</f>
        <v>70000</v>
      </c>
      <c r="K786">
        <f>ROUND(J786*VLOOKUP(F786,Sheet3!$A$106:$C$111,2,FALSE),0)</f>
        <v>22400</v>
      </c>
      <c r="L786">
        <f t="shared" si="84"/>
        <v>47600</v>
      </c>
      <c r="M786">
        <f t="shared" si="85"/>
        <v>68</v>
      </c>
      <c r="N786" t="str">
        <f t="shared" si="88"/>
        <v>No</v>
      </c>
      <c r="O786">
        <f t="shared" si="89"/>
        <v>0</v>
      </c>
      <c r="P786" t="str">
        <f t="shared" si="90"/>
        <v>None</v>
      </c>
      <c r="Q786" t="s">
        <v>124</v>
      </c>
    </row>
    <row r="787" spans="1:17" x14ac:dyDescent="0.3">
      <c r="A787">
        <v>786</v>
      </c>
      <c r="B787" t="s">
        <v>25</v>
      </c>
      <c r="C787" s="1">
        <v>45962</v>
      </c>
      <c r="D787" t="s">
        <v>29</v>
      </c>
      <c r="E787" t="s">
        <v>33</v>
      </c>
      <c r="F787" s="2" t="s">
        <v>40</v>
      </c>
      <c r="G787" t="str">
        <f t="shared" si="86"/>
        <v>Musk 12-UAE</v>
      </c>
      <c r="H787">
        <f t="shared" si="87"/>
        <v>494</v>
      </c>
      <c r="I787">
        <f>VLOOKUP(G787,Table4[[SKU-COUNTRY2]:[Price in USD]],2,FALSE)</f>
        <v>113.4</v>
      </c>
      <c r="J787">
        <f>VLOOKUP(G787,Sheet3!$C$82:$I$100,MATCH(E787,Sheet3!C$82:H$82,0),FALSE) * VLOOKUP(C787,Table8[],2,0)</f>
        <v>56000</v>
      </c>
      <c r="K787">
        <f>ROUND(J787*VLOOKUP(F787,Sheet3!$A$106:$C$111,2,FALSE),0)</f>
        <v>16800</v>
      </c>
      <c r="L787">
        <f t="shared" si="84"/>
        <v>39200</v>
      </c>
      <c r="M787">
        <f t="shared" si="85"/>
        <v>70</v>
      </c>
      <c r="N787" t="str">
        <f t="shared" si="88"/>
        <v>No</v>
      </c>
      <c r="O787">
        <f t="shared" si="89"/>
        <v>0</v>
      </c>
      <c r="P787" t="str">
        <f t="shared" si="90"/>
        <v>None</v>
      </c>
      <c r="Q787" t="s">
        <v>124</v>
      </c>
    </row>
    <row r="788" spans="1:17" x14ac:dyDescent="0.3">
      <c r="A788">
        <v>787</v>
      </c>
      <c r="B788" t="s">
        <v>25</v>
      </c>
      <c r="C788" s="1">
        <v>45962</v>
      </c>
      <c r="D788" t="s">
        <v>29</v>
      </c>
      <c r="E788" t="s">
        <v>34</v>
      </c>
      <c r="F788" s="2" t="s">
        <v>35</v>
      </c>
      <c r="G788" t="str">
        <f t="shared" si="86"/>
        <v>Vanilla 28-UAE</v>
      </c>
      <c r="H788">
        <f t="shared" si="87"/>
        <v>617</v>
      </c>
      <c r="I788">
        <f>VLOOKUP(G788,Table4[[SKU-COUNTRY2]:[Price in USD]],2,FALSE)</f>
        <v>113.4</v>
      </c>
      <c r="J788">
        <f>VLOOKUP(G788,Sheet3!$C$82:$I$100,MATCH(E788,Sheet3!C$82:H$82,0),FALSE) * VLOOKUP(C788,Table8[],2,0)</f>
        <v>70000</v>
      </c>
      <c r="K788">
        <f>ROUND(J788*VLOOKUP(F788,Sheet3!$A$106:$C$111,2,FALSE),0)</f>
        <v>21000</v>
      </c>
      <c r="L788">
        <f t="shared" si="84"/>
        <v>49000</v>
      </c>
      <c r="M788">
        <f t="shared" si="85"/>
        <v>70</v>
      </c>
      <c r="N788" t="str">
        <f t="shared" si="88"/>
        <v>No</v>
      </c>
      <c r="O788">
        <f t="shared" si="89"/>
        <v>0</v>
      </c>
      <c r="P788" t="str">
        <f t="shared" si="90"/>
        <v>None</v>
      </c>
      <c r="Q788" t="s">
        <v>124</v>
      </c>
    </row>
    <row r="789" spans="1:17" x14ac:dyDescent="0.3">
      <c r="A789">
        <v>788</v>
      </c>
      <c r="B789" t="s">
        <v>25</v>
      </c>
      <c r="C789" s="1">
        <v>45962</v>
      </c>
      <c r="D789" t="s">
        <v>29</v>
      </c>
      <c r="E789" t="s">
        <v>34</v>
      </c>
      <c r="F789" s="2" t="s">
        <v>36</v>
      </c>
      <c r="G789" t="str">
        <f t="shared" si="86"/>
        <v>Eden Juicy Apple 01-UAE</v>
      </c>
      <c r="H789">
        <f t="shared" si="87"/>
        <v>463</v>
      </c>
      <c r="I789">
        <f>VLOOKUP(G789,Table4[[SKU-COUNTRY2]:[Price in USD]],2,FALSE)</f>
        <v>113.4</v>
      </c>
      <c r="J789">
        <f>VLOOKUP(G789,Sheet3!$C$82:$I$100,MATCH(E789,Sheet3!C$82:H$82,0),FALSE) * VLOOKUP(C789,Table8[],2,0)</f>
        <v>52500</v>
      </c>
      <c r="K789">
        <f>ROUND(J789*VLOOKUP(F789,Sheet3!$A$106:$C$111,2,FALSE),0)</f>
        <v>16275</v>
      </c>
      <c r="L789">
        <f t="shared" si="84"/>
        <v>36225</v>
      </c>
      <c r="M789">
        <f t="shared" si="85"/>
        <v>69</v>
      </c>
      <c r="N789" t="str">
        <f t="shared" si="88"/>
        <v>No</v>
      </c>
      <c r="O789">
        <f t="shared" si="89"/>
        <v>0</v>
      </c>
      <c r="P789" t="str">
        <f t="shared" si="90"/>
        <v>None</v>
      </c>
      <c r="Q789" t="s">
        <v>124</v>
      </c>
    </row>
    <row r="790" spans="1:17" x14ac:dyDescent="0.3">
      <c r="A790">
        <v>789</v>
      </c>
      <c r="B790" t="s">
        <v>25</v>
      </c>
      <c r="C790" s="1">
        <v>45962</v>
      </c>
      <c r="D790" t="s">
        <v>29</v>
      </c>
      <c r="E790" t="s">
        <v>34</v>
      </c>
      <c r="F790" s="2" t="s">
        <v>37</v>
      </c>
      <c r="G790" t="str">
        <f t="shared" si="86"/>
        <v>Oudgasm Tobacco Oud 04-UAE</v>
      </c>
      <c r="H790">
        <f t="shared" si="87"/>
        <v>823</v>
      </c>
      <c r="I790">
        <f>VLOOKUP(G790,Table4[[SKU-COUNTRY2]:[Price in USD]],2,FALSE)</f>
        <v>148.77000000000001</v>
      </c>
      <c r="J790">
        <f>VLOOKUP(G790,Sheet3!$C$82:$I$100,MATCH(E790,Sheet3!C$82:H$82,0),FALSE) * VLOOKUP(C790,Table8[],2,0)</f>
        <v>122499.99999999999</v>
      </c>
      <c r="K790">
        <f>ROUND(J790*VLOOKUP(F790,Sheet3!$A$106:$C$111,2,FALSE),0)</f>
        <v>42875</v>
      </c>
      <c r="L790">
        <f t="shared" si="84"/>
        <v>79624.999999999985</v>
      </c>
      <c r="M790">
        <f t="shared" si="85"/>
        <v>65</v>
      </c>
      <c r="N790" t="str">
        <f t="shared" si="88"/>
        <v>No</v>
      </c>
      <c r="O790">
        <f t="shared" si="89"/>
        <v>0</v>
      </c>
      <c r="P790" t="str">
        <f t="shared" si="90"/>
        <v>None</v>
      </c>
      <c r="Q790" t="s">
        <v>124</v>
      </c>
    </row>
    <row r="791" spans="1:17" x14ac:dyDescent="0.3">
      <c r="A791">
        <v>790</v>
      </c>
      <c r="B791" t="s">
        <v>25</v>
      </c>
      <c r="C791" s="1">
        <v>45962</v>
      </c>
      <c r="D791" t="s">
        <v>29</v>
      </c>
      <c r="E791" t="s">
        <v>34</v>
      </c>
      <c r="F791" s="2" t="s">
        <v>38</v>
      </c>
      <c r="G791" t="str">
        <f t="shared" si="86"/>
        <v>Yum Pistachio Gelato 33-UAE</v>
      </c>
      <c r="H791">
        <f t="shared" si="87"/>
        <v>370</v>
      </c>
      <c r="I791">
        <f>VLOOKUP(G791,Table4[[SKU-COUNTRY2]:[Price in USD]],2,FALSE)</f>
        <v>113.4</v>
      </c>
      <c r="J791">
        <f>VLOOKUP(G791,Sheet3!$C$82:$I$100,MATCH(E791,Sheet3!C$82:H$82,0),FALSE) * VLOOKUP(C791,Table8[],2,0)</f>
        <v>42000</v>
      </c>
      <c r="K791">
        <f>ROUND(J791*VLOOKUP(F791,Sheet3!$A$106:$C$111,2,FALSE),0)</f>
        <v>13020</v>
      </c>
      <c r="L791">
        <f t="shared" si="84"/>
        <v>28980</v>
      </c>
      <c r="M791">
        <f t="shared" si="85"/>
        <v>69</v>
      </c>
      <c r="N791" t="str">
        <f t="shared" si="88"/>
        <v>No</v>
      </c>
      <c r="O791">
        <f t="shared" si="89"/>
        <v>0</v>
      </c>
      <c r="P791" t="str">
        <f t="shared" si="90"/>
        <v>None</v>
      </c>
      <c r="Q791" t="s">
        <v>124</v>
      </c>
    </row>
    <row r="792" spans="1:17" x14ac:dyDescent="0.3">
      <c r="A792">
        <v>791</v>
      </c>
      <c r="B792" t="s">
        <v>25</v>
      </c>
      <c r="C792" s="1">
        <v>45962</v>
      </c>
      <c r="D792" t="s">
        <v>29</v>
      </c>
      <c r="E792" t="s">
        <v>34</v>
      </c>
      <c r="F792" s="2" t="s">
        <v>39</v>
      </c>
      <c r="G792" t="str">
        <f t="shared" si="86"/>
        <v>Freedom Musk Santal 34-UAE</v>
      </c>
      <c r="H792">
        <f t="shared" si="87"/>
        <v>309</v>
      </c>
      <c r="I792">
        <f>VLOOKUP(G792,Table4[[SKU-COUNTRY2]:[Price in USD]],2,FALSE)</f>
        <v>113.4</v>
      </c>
      <c r="J792">
        <f>VLOOKUP(G792,Sheet3!$C$82:$I$100,MATCH(E792,Sheet3!C$82:H$82,0),FALSE) * VLOOKUP(C792,Table8[],2,0)</f>
        <v>35000</v>
      </c>
      <c r="K792">
        <f>ROUND(J792*VLOOKUP(F792,Sheet3!$A$106:$C$111,2,FALSE),0)</f>
        <v>11200</v>
      </c>
      <c r="L792">
        <f t="shared" si="84"/>
        <v>23800</v>
      </c>
      <c r="M792">
        <f t="shared" si="85"/>
        <v>68</v>
      </c>
      <c r="N792" t="str">
        <f t="shared" si="88"/>
        <v>No</v>
      </c>
      <c r="O792">
        <f t="shared" si="89"/>
        <v>0</v>
      </c>
      <c r="P792" t="str">
        <f t="shared" si="90"/>
        <v>None</v>
      </c>
      <c r="Q792" t="s">
        <v>124</v>
      </c>
    </row>
    <row r="793" spans="1:17" x14ac:dyDescent="0.3">
      <c r="A793">
        <v>792</v>
      </c>
      <c r="B793" t="s">
        <v>25</v>
      </c>
      <c r="C793" s="1">
        <v>45962</v>
      </c>
      <c r="D793" t="s">
        <v>29</v>
      </c>
      <c r="E793" t="s">
        <v>34</v>
      </c>
      <c r="F793" s="2" t="s">
        <v>40</v>
      </c>
      <c r="G793" t="str">
        <f t="shared" si="86"/>
        <v>Musk 12-UAE</v>
      </c>
      <c r="H793">
        <f t="shared" si="87"/>
        <v>247</v>
      </c>
      <c r="I793">
        <f>VLOOKUP(G793,Table4[[SKU-COUNTRY2]:[Price in USD]],2,FALSE)</f>
        <v>113.4</v>
      </c>
      <c r="J793">
        <f>VLOOKUP(G793,Sheet3!$C$82:$I$100,MATCH(E793,Sheet3!C$82:H$82,0),FALSE) * VLOOKUP(C793,Table8[],2,0)</f>
        <v>28000</v>
      </c>
      <c r="K793">
        <f>ROUND(J793*VLOOKUP(F793,Sheet3!$A$106:$C$111,2,FALSE),0)</f>
        <v>8400</v>
      </c>
      <c r="L793">
        <f t="shared" si="84"/>
        <v>19600</v>
      </c>
      <c r="M793">
        <f t="shared" si="85"/>
        <v>70</v>
      </c>
      <c r="N793" t="str">
        <f t="shared" si="88"/>
        <v>No</v>
      </c>
      <c r="O793">
        <f t="shared" si="89"/>
        <v>0</v>
      </c>
      <c r="P793" t="str">
        <f t="shared" si="90"/>
        <v>None</v>
      </c>
      <c r="Q793" t="s">
        <v>124</v>
      </c>
    </row>
    <row r="794" spans="1:17" x14ac:dyDescent="0.3">
      <c r="A794">
        <v>793</v>
      </c>
      <c r="B794" t="s">
        <v>26</v>
      </c>
      <c r="C794" s="1">
        <v>45992</v>
      </c>
      <c r="D794" t="s">
        <v>28</v>
      </c>
      <c r="E794" t="s">
        <v>32</v>
      </c>
      <c r="F794" s="2" t="s">
        <v>35</v>
      </c>
      <c r="G794" t="str">
        <f t="shared" si="86"/>
        <v>Vanilla 28-USA</v>
      </c>
      <c r="H794">
        <f t="shared" si="87"/>
        <v>41067</v>
      </c>
      <c r="I794">
        <f>VLOOKUP(G794,Table4[[SKU-COUNTRY2]:[Price in USD]],2,FALSE)</f>
        <v>105</v>
      </c>
      <c r="J794">
        <f>VLOOKUP(G794,Sheet3!$C$82:$I$100,MATCH(E794,Sheet3!C$82:H$82,0),FALSE) * VLOOKUP(C794,Table8[],2,0)</f>
        <v>4312000</v>
      </c>
      <c r="K794">
        <f>ROUND(J794*VLOOKUP(F794,Sheet3!$A$106:$C$111,2,FALSE),0)</f>
        <v>1293600</v>
      </c>
      <c r="L794">
        <f t="shared" si="84"/>
        <v>3018400</v>
      </c>
      <c r="M794">
        <f t="shared" si="85"/>
        <v>70</v>
      </c>
      <c r="N794" t="str">
        <f t="shared" si="88"/>
        <v>No</v>
      </c>
      <c r="O794">
        <f t="shared" si="89"/>
        <v>0</v>
      </c>
      <c r="P794" t="str">
        <f t="shared" si="90"/>
        <v>None</v>
      </c>
      <c r="Q794" t="s">
        <v>124</v>
      </c>
    </row>
    <row r="795" spans="1:17" x14ac:dyDescent="0.3">
      <c r="A795">
        <v>794</v>
      </c>
      <c r="B795" t="s">
        <v>26</v>
      </c>
      <c r="C795" s="1">
        <v>45992</v>
      </c>
      <c r="D795" t="s">
        <v>28</v>
      </c>
      <c r="E795" t="s">
        <v>32</v>
      </c>
      <c r="F795" s="2" t="s">
        <v>36</v>
      </c>
      <c r="G795" t="str">
        <f t="shared" si="86"/>
        <v>Eden Juicy Apple 01-USA</v>
      </c>
      <c r="H795">
        <f t="shared" si="87"/>
        <v>23467</v>
      </c>
      <c r="I795">
        <f>VLOOKUP(G795,Table4[[SKU-COUNTRY2]:[Price in USD]],2,FALSE)</f>
        <v>105</v>
      </c>
      <c r="J795">
        <f>VLOOKUP(G795,Sheet3!$C$82:$I$100,MATCH(E795,Sheet3!C$82:H$82,0),FALSE) * VLOOKUP(C795,Table8[],2,0)</f>
        <v>2464000.0000000005</v>
      </c>
      <c r="K795">
        <f>ROUND(J795*VLOOKUP(F795,Sheet3!$A$106:$C$111,2,FALSE),0)</f>
        <v>763840</v>
      </c>
      <c r="L795">
        <f t="shared" si="84"/>
        <v>1700160.0000000005</v>
      </c>
      <c r="M795">
        <f t="shared" si="85"/>
        <v>69</v>
      </c>
      <c r="N795" t="str">
        <f t="shared" si="88"/>
        <v>No</v>
      </c>
      <c r="O795">
        <f t="shared" si="89"/>
        <v>0</v>
      </c>
      <c r="P795" t="str">
        <f t="shared" si="90"/>
        <v>None</v>
      </c>
      <c r="Q795" t="s">
        <v>124</v>
      </c>
    </row>
    <row r="796" spans="1:17" x14ac:dyDescent="0.3">
      <c r="A796">
        <v>795</v>
      </c>
      <c r="B796" t="s">
        <v>26</v>
      </c>
      <c r="C796" s="1">
        <v>45992</v>
      </c>
      <c r="D796" t="s">
        <v>28</v>
      </c>
      <c r="E796" t="s">
        <v>32</v>
      </c>
      <c r="F796" s="2" t="s">
        <v>37</v>
      </c>
      <c r="G796" t="str">
        <f t="shared" si="86"/>
        <v>Oudgasm Tobacco Oud 04-USA</v>
      </c>
      <c r="H796">
        <f t="shared" si="87"/>
        <v>15840</v>
      </c>
      <c r="I796">
        <f>VLOOKUP(G796,Table4[[SKU-COUNTRY2]:[Price in USD]],2,FALSE)</f>
        <v>140</v>
      </c>
      <c r="J796">
        <f>VLOOKUP(G796,Sheet3!$C$82:$I$100,MATCH(E796,Sheet3!C$82:H$82,0),FALSE) * VLOOKUP(C796,Table8[],2,0)</f>
        <v>2217600</v>
      </c>
      <c r="K796">
        <f>ROUND(J796*VLOOKUP(F796,Sheet3!$A$106:$C$111,2,FALSE),0)</f>
        <v>776160</v>
      </c>
      <c r="L796">
        <f t="shared" si="84"/>
        <v>1441440</v>
      </c>
      <c r="M796">
        <f t="shared" si="85"/>
        <v>65</v>
      </c>
      <c r="N796" t="str">
        <f t="shared" si="88"/>
        <v>No</v>
      </c>
      <c r="O796">
        <f t="shared" si="89"/>
        <v>0</v>
      </c>
      <c r="P796" t="str">
        <f t="shared" si="90"/>
        <v>None</v>
      </c>
      <c r="Q796" t="s">
        <v>124</v>
      </c>
    </row>
    <row r="797" spans="1:17" x14ac:dyDescent="0.3">
      <c r="A797">
        <v>796</v>
      </c>
      <c r="B797" t="s">
        <v>26</v>
      </c>
      <c r="C797" s="1">
        <v>45992</v>
      </c>
      <c r="D797" t="s">
        <v>28</v>
      </c>
      <c r="E797" t="s">
        <v>32</v>
      </c>
      <c r="F797" s="2" t="s">
        <v>38</v>
      </c>
      <c r="G797" t="str">
        <f t="shared" si="86"/>
        <v>Yum Pistachio Gelato 33-USA</v>
      </c>
      <c r="H797">
        <f t="shared" si="87"/>
        <v>14080</v>
      </c>
      <c r="I797">
        <f>VLOOKUP(G797,Table4[[SKU-COUNTRY2]:[Price in USD]],2,FALSE)</f>
        <v>105</v>
      </c>
      <c r="J797">
        <f>VLOOKUP(G797,Sheet3!$C$82:$I$100,MATCH(E797,Sheet3!C$82:H$82,0),FALSE) * VLOOKUP(C797,Table8[],2,0)</f>
        <v>1478400.0000000002</v>
      </c>
      <c r="K797">
        <f>ROUND(J797*VLOOKUP(F797,Sheet3!$A$106:$C$111,2,FALSE),0)</f>
        <v>458304</v>
      </c>
      <c r="L797">
        <f t="shared" si="84"/>
        <v>1020096.0000000002</v>
      </c>
      <c r="M797">
        <f t="shared" si="85"/>
        <v>69</v>
      </c>
      <c r="N797" t="str">
        <f t="shared" si="88"/>
        <v>No</v>
      </c>
      <c r="O797">
        <f t="shared" si="89"/>
        <v>0</v>
      </c>
      <c r="P797" t="str">
        <f t="shared" si="90"/>
        <v>None</v>
      </c>
      <c r="Q797" t="s">
        <v>124</v>
      </c>
    </row>
    <row r="798" spans="1:17" x14ac:dyDescent="0.3">
      <c r="A798">
        <v>797</v>
      </c>
      <c r="B798" t="s">
        <v>26</v>
      </c>
      <c r="C798" s="1">
        <v>45992</v>
      </c>
      <c r="D798" t="s">
        <v>28</v>
      </c>
      <c r="E798" t="s">
        <v>32</v>
      </c>
      <c r="F798" s="2" t="s">
        <v>39</v>
      </c>
      <c r="G798" t="str">
        <f t="shared" si="86"/>
        <v>Freedom Musk Santal 34-USA</v>
      </c>
      <c r="H798">
        <f t="shared" si="87"/>
        <v>11733</v>
      </c>
      <c r="I798">
        <f>VLOOKUP(G798,Table4[[SKU-COUNTRY2]:[Price in USD]],2,FALSE)</f>
        <v>105</v>
      </c>
      <c r="J798">
        <f>VLOOKUP(G798,Sheet3!$C$82:$I$100,MATCH(E798,Sheet3!C$82:H$82,0),FALSE) * VLOOKUP(C798,Table8[],2,0)</f>
        <v>1232000.0000000002</v>
      </c>
      <c r="K798">
        <f>ROUND(J798*VLOOKUP(F798,Sheet3!$A$106:$C$111,2,FALSE),0)</f>
        <v>394240</v>
      </c>
      <c r="L798">
        <f t="shared" si="84"/>
        <v>837760.00000000023</v>
      </c>
      <c r="M798">
        <f t="shared" si="85"/>
        <v>68</v>
      </c>
      <c r="N798" t="str">
        <f t="shared" si="88"/>
        <v>No</v>
      </c>
      <c r="O798">
        <f t="shared" si="89"/>
        <v>0</v>
      </c>
      <c r="P798" t="str">
        <f t="shared" si="90"/>
        <v>None</v>
      </c>
      <c r="Q798" t="s">
        <v>124</v>
      </c>
    </row>
    <row r="799" spans="1:17" x14ac:dyDescent="0.3">
      <c r="A799">
        <v>798</v>
      </c>
      <c r="B799" t="s">
        <v>26</v>
      </c>
      <c r="C799" s="1">
        <v>45992</v>
      </c>
      <c r="D799" t="s">
        <v>28</v>
      </c>
      <c r="E799" t="s">
        <v>32</v>
      </c>
      <c r="F799" s="2" t="s">
        <v>40</v>
      </c>
      <c r="G799" t="str">
        <f t="shared" si="86"/>
        <v>Musk 12-USA</v>
      </c>
      <c r="H799">
        <f t="shared" si="87"/>
        <v>5867</v>
      </c>
      <c r="I799">
        <f>VLOOKUP(G799,Table4[[SKU-COUNTRY2]:[Price in USD]],2,FALSE)</f>
        <v>105</v>
      </c>
      <c r="J799">
        <f>VLOOKUP(G799,Sheet3!$C$82:$I$100,MATCH(E799,Sheet3!C$82:H$82,0),FALSE) * VLOOKUP(C799,Table8[],2,0)</f>
        <v>616000.00000000012</v>
      </c>
      <c r="K799">
        <f>ROUND(J799*VLOOKUP(F799,Sheet3!$A$106:$C$111,2,FALSE),0)</f>
        <v>184800</v>
      </c>
      <c r="L799">
        <f t="shared" si="84"/>
        <v>431200.00000000012</v>
      </c>
      <c r="M799">
        <f t="shared" si="85"/>
        <v>70</v>
      </c>
      <c r="N799" t="str">
        <f t="shared" si="88"/>
        <v>No</v>
      </c>
      <c r="O799">
        <f t="shared" si="89"/>
        <v>0</v>
      </c>
      <c r="P799" t="str">
        <f t="shared" si="90"/>
        <v>None</v>
      </c>
      <c r="Q799" t="s">
        <v>124</v>
      </c>
    </row>
    <row r="800" spans="1:17" x14ac:dyDescent="0.3">
      <c r="A800">
        <v>799</v>
      </c>
      <c r="B800" t="s">
        <v>26</v>
      </c>
      <c r="C800" s="1">
        <v>45992</v>
      </c>
      <c r="D800" t="s">
        <v>28</v>
      </c>
      <c r="E800" t="s">
        <v>31</v>
      </c>
      <c r="F800" s="2" t="s">
        <v>35</v>
      </c>
      <c r="G800" t="str">
        <f t="shared" si="86"/>
        <v>Vanilla 28-USA</v>
      </c>
      <c r="H800">
        <f t="shared" si="87"/>
        <v>18667</v>
      </c>
      <c r="I800">
        <f>VLOOKUP(G800,Table4[[SKU-COUNTRY2]:[Price in USD]],2,FALSE)</f>
        <v>105</v>
      </c>
      <c r="J800">
        <f>VLOOKUP(G800,Sheet3!$C$82:$I$100,MATCH(E800,Sheet3!C$82:H$82,0),FALSE) * VLOOKUP(C800,Table8[],2,0)</f>
        <v>1960000</v>
      </c>
      <c r="K800">
        <f>ROUND(J800*VLOOKUP(F800,Sheet3!$A$106:$C$111,2,FALSE),0)</f>
        <v>588000</v>
      </c>
      <c r="L800">
        <f t="shared" si="84"/>
        <v>1372000</v>
      </c>
      <c r="M800">
        <f t="shared" si="85"/>
        <v>70</v>
      </c>
      <c r="N800" t="str">
        <f t="shared" si="88"/>
        <v>No</v>
      </c>
      <c r="O800">
        <f t="shared" si="89"/>
        <v>0</v>
      </c>
      <c r="P800" t="str">
        <f t="shared" si="90"/>
        <v>None</v>
      </c>
      <c r="Q800" t="s">
        <v>124</v>
      </c>
    </row>
    <row r="801" spans="1:17" x14ac:dyDescent="0.3">
      <c r="A801">
        <v>800</v>
      </c>
      <c r="B801" t="s">
        <v>26</v>
      </c>
      <c r="C801" s="1">
        <v>45992</v>
      </c>
      <c r="D801" t="s">
        <v>28</v>
      </c>
      <c r="E801" t="s">
        <v>31</v>
      </c>
      <c r="F801" s="2" t="s">
        <v>36</v>
      </c>
      <c r="G801" t="str">
        <f t="shared" si="86"/>
        <v>Eden Juicy Apple 01-USA</v>
      </c>
      <c r="H801">
        <f t="shared" si="87"/>
        <v>10667</v>
      </c>
      <c r="I801">
        <f>VLOOKUP(G801,Table4[[SKU-COUNTRY2]:[Price in USD]],2,FALSE)</f>
        <v>105</v>
      </c>
      <c r="J801">
        <f>VLOOKUP(G801,Sheet3!$C$82:$I$100,MATCH(E801,Sheet3!C$82:H$82,0),FALSE) * VLOOKUP(C801,Table8[],2,0)</f>
        <v>1120000</v>
      </c>
      <c r="K801">
        <f>ROUND(J801*VLOOKUP(F801,Sheet3!$A$106:$C$111,2,FALSE),0)</f>
        <v>347200</v>
      </c>
      <c r="L801">
        <f t="shared" si="84"/>
        <v>772800</v>
      </c>
      <c r="M801">
        <f t="shared" si="85"/>
        <v>69</v>
      </c>
      <c r="N801" t="str">
        <f t="shared" si="88"/>
        <v>No</v>
      </c>
      <c r="O801">
        <f t="shared" si="89"/>
        <v>0</v>
      </c>
      <c r="P801" t="str">
        <f t="shared" si="90"/>
        <v>None</v>
      </c>
      <c r="Q801" t="s">
        <v>124</v>
      </c>
    </row>
    <row r="802" spans="1:17" x14ac:dyDescent="0.3">
      <c r="A802">
        <v>801</v>
      </c>
      <c r="B802" t="s">
        <v>26</v>
      </c>
      <c r="C802" s="1">
        <v>45992</v>
      </c>
      <c r="D802" t="s">
        <v>28</v>
      </c>
      <c r="E802" t="s">
        <v>31</v>
      </c>
      <c r="F802" s="2" t="s">
        <v>37</v>
      </c>
      <c r="G802" t="str">
        <f t="shared" si="86"/>
        <v>Oudgasm Tobacco Oud 04-USA</v>
      </c>
      <c r="H802">
        <f t="shared" si="87"/>
        <v>7200</v>
      </c>
      <c r="I802">
        <f>VLOOKUP(G802,Table4[[SKU-COUNTRY2]:[Price in USD]],2,FALSE)</f>
        <v>140</v>
      </c>
      <c r="J802">
        <f>VLOOKUP(G802,Sheet3!$C$82:$I$100,MATCH(E802,Sheet3!C$82:H$82,0),FALSE) * VLOOKUP(C802,Table8[],2,0)</f>
        <v>1008000</v>
      </c>
      <c r="K802">
        <f>ROUND(J802*VLOOKUP(F802,Sheet3!$A$106:$C$111,2,FALSE),0)</f>
        <v>352800</v>
      </c>
      <c r="L802">
        <f t="shared" si="84"/>
        <v>655200</v>
      </c>
      <c r="M802">
        <f t="shared" si="85"/>
        <v>65</v>
      </c>
      <c r="N802" t="str">
        <f t="shared" si="88"/>
        <v>No</v>
      </c>
      <c r="O802">
        <f t="shared" si="89"/>
        <v>0</v>
      </c>
      <c r="P802" t="str">
        <f t="shared" si="90"/>
        <v>None</v>
      </c>
      <c r="Q802" t="s">
        <v>124</v>
      </c>
    </row>
    <row r="803" spans="1:17" x14ac:dyDescent="0.3">
      <c r="A803">
        <v>802</v>
      </c>
      <c r="B803" t="s">
        <v>26</v>
      </c>
      <c r="C803" s="1">
        <v>45992</v>
      </c>
      <c r="D803" t="s">
        <v>28</v>
      </c>
      <c r="E803" t="s">
        <v>31</v>
      </c>
      <c r="F803" s="2" t="s">
        <v>38</v>
      </c>
      <c r="G803" t="str">
        <f t="shared" si="86"/>
        <v>Yum Pistachio Gelato 33-USA</v>
      </c>
      <c r="H803">
        <f t="shared" si="87"/>
        <v>6400</v>
      </c>
      <c r="I803">
        <f>VLOOKUP(G803,Table4[[SKU-COUNTRY2]:[Price in USD]],2,FALSE)</f>
        <v>105</v>
      </c>
      <c r="J803">
        <f>VLOOKUP(G803,Sheet3!$C$82:$I$100,MATCH(E803,Sheet3!C$82:H$82,0),FALSE) * VLOOKUP(C803,Table8[],2,0)</f>
        <v>672000</v>
      </c>
      <c r="K803">
        <f>ROUND(J803*VLOOKUP(F803,Sheet3!$A$106:$C$111,2,FALSE),0)</f>
        <v>208320</v>
      </c>
      <c r="L803">
        <f t="shared" si="84"/>
        <v>463680</v>
      </c>
      <c r="M803">
        <f t="shared" si="85"/>
        <v>69</v>
      </c>
      <c r="N803" t="str">
        <f t="shared" si="88"/>
        <v>No</v>
      </c>
      <c r="O803">
        <f t="shared" si="89"/>
        <v>0</v>
      </c>
      <c r="P803" t="str">
        <f t="shared" si="90"/>
        <v>None</v>
      </c>
      <c r="Q803" t="s">
        <v>124</v>
      </c>
    </row>
    <row r="804" spans="1:17" x14ac:dyDescent="0.3">
      <c r="A804">
        <v>803</v>
      </c>
      <c r="B804" t="s">
        <v>26</v>
      </c>
      <c r="C804" s="1">
        <v>45992</v>
      </c>
      <c r="D804" t="s">
        <v>28</v>
      </c>
      <c r="E804" t="s">
        <v>31</v>
      </c>
      <c r="F804" s="2" t="s">
        <v>39</v>
      </c>
      <c r="G804" t="str">
        <f t="shared" si="86"/>
        <v>Freedom Musk Santal 34-USA</v>
      </c>
      <c r="H804">
        <f t="shared" si="87"/>
        <v>5333</v>
      </c>
      <c r="I804">
        <f>VLOOKUP(G804,Table4[[SKU-COUNTRY2]:[Price in USD]],2,FALSE)</f>
        <v>105</v>
      </c>
      <c r="J804">
        <f>VLOOKUP(G804,Sheet3!$C$82:$I$100,MATCH(E804,Sheet3!C$82:H$82,0),FALSE) * VLOOKUP(C804,Table8[],2,0)</f>
        <v>560000</v>
      </c>
      <c r="K804">
        <f>ROUND(J804*VLOOKUP(F804,Sheet3!$A$106:$C$111,2,FALSE),0)</f>
        <v>179200</v>
      </c>
      <c r="L804">
        <f t="shared" si="84"/>
        <v>380800</v>
      </c>
      <c r="M804">
        <f t="shared" si="85"/>
        <v>68</v>
      </c>
      <c r="N804" t="str">
        <f t="shared" si="88"/>
        <v>No</v>
      </c>
      <c r="O804">
        <f t="shared" si="89"/>
        <v>0</v>
      </c>
      <c r="P804" t="str">
        <f t="shared" si="90"/>
        <v>None</v>
      </c>
      <c r="Q804" t="s">
        <v>124</v>
      </c>
    </row>
    <row r="805" spans="1:17" x14ac:dyDescent="0.3">
      <c r="A805">
        <v>804</v>
      </c>
      <c r="B805" t="s">
        <v>26</v>
      </c>
      <c r="C805" s="1">
        <v>45992</v>
      </c>
      <c r="D805" t="s">
        <v>28</v>
      </c>
      <c r="E805" t="s">
        <v>31</v>
      </c>
      <c r="F805" s="2" t="s">
        <v>40</v>
      </c>
      <c r="G805" t="str">
        <f t="shared" si="86"/>
        <v>Musk 12-USA</v>
      </c>
      <c r="H805">
        <f t="shared" si="87"/>
        <v>2667</v>
      </c>
      <c r="I805">
        <f>VLOOKUP(G805,Table4[[SKU-COUNTRY2]:[Price in USD]],2,FALSE)</f>
        <v>105</v>
      </c>
      <c r="J805">
        <f>VLOOKUP(G805,Sheet3!$C$82:$I$100,MATCH(E805,Sheet3!C$82:H$82,0),FALSE) * VLOOKUP(C805,Table8[],2,0)</f>
        <v>280000</v>
      </c>
      <c r="K805">
        <f>ROUND(J805*VLOOKUP(F805,Sheet3!$A$106:$C$111,2,FALSE),0)</f>
        <v>84000</v>
      </c>
      <c r="L805">
        <f t="shared" si="84"/>
        <v>196000</v>
      </c>
      <c r="M805">
        <f t="shared" si="85"/>
        <v>70</v>
      </c>
      <c r="N805" t="str">
        <f t="shared" si="88"/>
        <v>No</v>
      </c>
      <c r="O805">
        <f t="shared" si="89"/>
        <v>0</v>
      </c>
      <c r="P805" t="str">
        <f t="shared" si="90"/>
        <v>None</v>
      </c>
      <c r="Q805" t="s">
        <v>124</v>
      </c>
    </row>
    <row r="806" spans="1:17" x14ac:dyDescent="0.3">
      <c r="A806">
        <v>805</v>
      </c>
      <c r="B806" t="s">
        <v>26</v>
      </c>
      <c r="C806" s="1">
        <v>45992</v>
      </c>
      <c r="D806" t="s">
        <v>28</v>
      </c>
      <c r="E806" t="s">
        <v>33</v>
      </c>
      <c r="F806" s="2" t="s">
        <v>35</v>
      </c>
      <c r="G806" t="str">
        <f t="shared" si="86"/>
        <v>Vanilla 28-USA</v>
      </c>
      <c r="H806">
        <f t="shared" si="87"/>
        <v>8960</v>
      </c>
      <c r="I806">
        <f>VLOOKUP(G806,Table4[[SKU-COUNTRY2]:[Price in USD]],2,FALSE)</f>
        <v>105</v>
      </c>
      <c r="J806">
        <f>VLOOKUP(G806,Sheet3!$C$82:$I$100,MATCH(E806,Sheet3!C$82:H$82,0),FALSE) * VLOOKUP(C806,Table8[],2,0)</f>
        <v>940800</v>
      </c>
      <c r="K806">
        <f>ROUND(J806*VLOOKUP(F806,Sheet3!$A$106:$C$111,2,FALSE),0)</f>
        <v>282240</v>
      </c>
      <c r="L806">
        <f t="shared" si="84"/>
        <v>658560</v>
      </c>
      <c r="M806">
        <f t="shared" si="85"/>
        <v>70</v>
      </c>
      <c r="N806" t="str">
        <f t="shared" si="88"/>
        <v>No</v>
      </c>
      <c r="O806">
        <f t="shared" si="89"/>
        <v>0</v>
      </c>
      <c r="P806" t="str">
        <f t="shared" si="90"/>
        <v>None</v>
      </c>
      <c r="Q806" t="s">
        <v>124</v>
      </c>
    </row>
    <row r="807" spans="1:17" x14ac:dyDescent="0.3">
      <c r="A807">
        <v>806</v>
      </c>
      <c r="B807" t="s">
        <v>26</v>
      </c>
      <c r="C807" s="1">
        <v>45992</v>
      </c>
      <c r="D807" t="s">
        <v>28</v>
      </c>
      <c r="E807" t="s">
        <v>33</v>
      </c>
      <c r="F807" s="2" t="s">
        <v>36</v>
      </c>
      <c r="G807" t="str">
        <f t="shared" si="86"/>
        <v>Eden Juicy Apple 01-USA</v>
      </c>
      <c r="H807">
        <f t="shared" si="87"/>
        <v>5120</v>
      </c>
      <c r="I807">
        <f>VLOOKUP(G807,Table4[[SKU-COUNTRY2]:[Price in USD]],2,FALSE)</f>
        <v>105</v>
      </c>
      <c r="J807">
        <f>VLOOKUP(G807,Sheet3!$C$82:$I$100,MATCH(E807,Sheet3!C$82:H$82,0),FALSE) * VLOOKUP(C807,Table8[],2,0)</f>
        <v>537600</v>
      </c>
      <c r="K807">
        <f>ROUND(J807*VLOOKUP(F807,Sheet3!$A$106:$C$111,2,FALSE),0)</f>
        <v>166656</v>
      </c>
      <c r="L807">
        <f t="shared" si="84"/>
        <v>370944</v>
      </c>
      <c r="M807">
        <f t="shared" si="85"/>
        <v>69</v>
      </c>
      <c r="N807" t="str">
        <f t="shared" si="88"/>
        <v>No</v>
      </c>
      <c r="O807">
        <f t="shared" si="89"/>
        <v>0</v>
      </c>
      <c r="P807" t="str">
        <f t="shared" si="90"/>
        <v>None</v>
      </c>
      <c r="Q807" t="s">
        <v>124</v>
      </c>
    </row>
    <row r="808" spans="1:17" x14ac:dyDescent="0.3">
      <c r="A808">
        <v>807</v>
      </c>
      <c r="B808" t="s">
        <v>26</v>
      </c>
      <c r="C808" s="1">
        <v>45992</v>
      </c>
      <c r="D808" t="s">
        <v>28</v>
      </c>
      <c r="E808" t="s">
        <v>33</v>
      </c>
      <c r="F808" s="2" t="s">
        <v>37</v>
      </c>
      <c r="G808" t="str">
        <f t="shared" si="86"/>
        <v>Oudgasm Tobacco Oud 04-USA</v>
      </c>
      <c r="H808">
        <f t="shared" si="87"/>
        <v>3456</v>
      </c>
      <c r="I808">
        <f>VLOOKUP(G808,Table4[[SKU-COUNTRY2]:[Price in USD]],2,FALSE)</f>
        <v>140</v>
      </c>
      <c r="J808">
        <f>VLOOKUP(G808,Sheet3!$C$82:$I$100,MATCH(E808,Sheet3!C$82:H$82,0),FALSE) * VLOOKUP(C808,Table8[],2,0)</f>
        <v>483840</v>
      </c>
      <c r="K808">
        <f>ROUND(J808*VLOOKUP(F808,Sheet3!$A$106:$C$111,2,FALSE),0)</f>
        <v>169344</v>
      </c>
      <c r="L808">
        <f t="shared" si="84"/>
        <v>314496</v>
      </c>
      <c r="M808">
        <f t="shared" si="85"/>
        <v>65</v>
      </c>
      <c r="N808" t="str">
        <f t="shared" si="88"/>
        <v>No</v>
      </c>
      <c r="O808">
        <f t="shared" si="89"/>
        <v>0</v>
      </c>
      <c r="P808" t="str">
        <f t="shared" si="90"/>
        <v>None</v>
      </c>
      <c r="Q808" t="s">
        <v>124</v>
      </c>
    </row>
    <row r="809" spans="1:17" x14ac:dyDescent="0.3">
      <c r="A809">
        <v>808</v>
      </c>
      <c r="B809" t="s">
        <v>26</v>
      </c>
      <c r="C809" s="1">
        <v>45992</v>
      </c>
      <c r="D809" t="s">
        <v>28</v>
      </c>
      <c r="E809" t="s">
        <v>33</v>
      </c>
      <c r="F809" s="2" t="s">
        <v>38</v>
      </c>
      <c r="G809" t="str">
        <f t="shared" si="86"/>
        <v>Yum Pistachio Gelato 33-USA</v>
      </c>
      <c r="H809">
        <f t="shared" si="87"/>
        <v>3072</v>
      </c>
      <c r="I809">
        <f>VLOOKUP(G809,Table4[[SKU-COUNTRY2]:[Price in USD]],2,FALSE)</f>
        <v>105</v>
      </c>
      <c r="J809">
        <f>VLOOKUP(G809,Sheet3!$C$82:$I$100,MATCH(E809,Sheet3!C$82:H$82,0),FALSE) * VLOOKUP(C809,Table8[],2,0)</f>
        <v>322560</v>
      </c>
      <c r="K809">
        <f>ROUND(J809*VLOOKUP(F809,Sheet3!$A$106:$C$111,2,FALSE),0)</f>
        <v>99994</v>
      </c>
      <c r="L809">
        <f t="shared" si="84"/>
        <v>222566</v>
      </c>
      <c r="M809">
        <f t="shared" si="85"/>
        <v>69</v>
      </c>
      <c r="N809" t="str">
        <f t="shared" si="88"/>
        <v>No</v>
      </c>
      <c r="O809">
        <f t="shared" si="89"/>
        <v>0</v>
      </c>
      <c r="P809" t="str">
        <f t="shared" si="90"/>
        <v>None</v>
      </c>
      <c r="Q809" t="s">
        <v>124</v>
      </c>
    </row>
    <row r="810" spans="1:17" x14ac:dyDescent="0.3">
      <c r="A810">
        <v>809</v>
      </c>
      <c r="B810" t="s">
        <v>26</v>
      </c>
      <c r="C810" s="1">
        <v>45992</v>
      </c>
      <c r="D810" t="s">
        <v>28</v>
      </c>
      <c r="E810" t="s">
        <v>33</v>
      </c>
      <c r="F810" s="2" t="s">
        <v>39</v>
      </c>
      <c r="G810" t="str">
        <f t="shared" si="86"/>
        <v>Freedom Musk Santal 34-USA</v>
      </c>
      <c r="H810">
        <f t="shared" si="87"/>
        <v>2560</v>
      </c>
      <c r="I810">
        <f>VLOOKUP(G810,Table4[[SKU-COUNTRY2]:[Price in USD]],2,FALSE)</f>
        <v>105</v>
      </c>
      <c r="J810">
        <f>VLOOKUP(G810,Sheet3!$C$82:$I$100,MATCH(E810,Sheet3!C$82:H$82,0),FALSE) * VLOOKUP(C810,Table8[],2,0)</f>
        <v>268800</v>
      </c>
      <c r="K810">
        <f>ROUND(J810*VLOOKUP(F810,Sheet3!$A$106:$C$111,2,FALSE),0)</f>
        <v>86016</v>
      </c>
      <c r="L810">
        <f t="shared" si="84"/>
        <v>182784</v>
      </c>
      <c r="M810">
        <f t="shared" si="85"/>
        <v>68</v>
      </c>
      <c r="N810" t="str">
        <f t="shared" si="88"/>
        <v>No</v>
      </c>
      <c r="O810">
        <f t="shared" si="89"/>
        <v>0</v>
      </c>
      <c r="P810" t="str">
        <f t="shared" si="90"/>
        <v>None</v>
      </c>
      <c r="Q810" t="s">
        <v>124</v>
      </c>
    </row>
    <row r="811" spans="1:17" x14ac:dyDescent="0.3">
      <c r="A811">
        <v>810</v>
      </c>
      <c r="B811" t="s">
        <v>26</v>
      </c>
      <c r="C811" s="1">
        <v>45992</v>
      </c>
      <c r="D811" t="s">
        <v>28</v>
      </c>
      <c r="E811" t="s">
        <v>33</v>
      </c>
      <c r="F811" s="2" t="s">
        <v>40</v>
      </c>
      <c r="G811" t="str">
        <f t="shared" si="86"/>
        <v>Musk 12-USA</v>
      </c>
      <c r="H811">
        <f t="shared" si="87"/>
        <v>1280</v>
      </c>
      <c r="I811">
        <f>VLOOKUP(G811,Table4[[SKU-COUNTRY2]:[Price in USD]],2,FALSE)</f>
        <v>105</v>
      </c>
      <c r="J811">
        <f>VLOOKUP(G811,Sheet3!$C$82:$I$100,MATCH(E811,Sheet3!C$82:H$82,0),FALSE) * VLOOKUP(C811,Table8[],2,0)</f>
        <v>134400</v>
      </c>
      <c r="K811">
        <f>ROUND(J811*VLOOKUP(F811,Sheet3!$A$106:$C$111,2,FALSE),0)</f>
        <v>40320</v>
      </c>
      <c r="L811">
        <f t="shared" si="84"/>
        <v>94080</v>
      </c>
      <c r="M811">
        <f t="shared" si="85"/>
        <v>70</v>
      </c>
      <c r="N811" t="str">
        <f t="shared" si="88"/>
        <v>No</v>
      </c>
      <c r="O811">
        <f t="shared" si="89"/>
        <v>0</v>
      </c>
      <c r="P811" t="str">
        <f t="shared" si="90"/>
        <v>None</v>
      </c>
      <c r="Q811" t="s">
        <v>124</v>
      </c>
    </row>
    <row r="812" spans="1:17" x14ac:dyDescent="0.3">
      <c r="A812">
        <v>811</v>
      </c>
      <c r="B812" t="s">
        <v>26</v>
      </c>
      <c r="C812" s="1">
        <v>45992</v>
      </c>
      <c r="D812" t="s">
        <v>28</v>
      </c>
      <c r="E812" t="s">
        <v>34</v>
      </c>
      <c r="F812" s="2" t="s">
        <v>35</v>
      </c>
      <c r="G812" t="str">
        <f t="shared" si="86"/>
        <v>Vanilla 28-USA</v>
      </c>
      <c r="H812">
        <f t="shared" si="87"/>
        <v>5973</v>
      </c>
      <c r="I812">
        <f>VLOOKUP(G812,Table4[[SKU-COUNTRY2]:[Price in USD]],2,FALSE)</f>
        <v>105</v>
      </c>
      <c r="J812">
        <f>VLOOKUP(G812,Sheet3!$C$82:$I$100,MATCH(E812,Sheet3!C$82:H$82,0),FALSE) * VLOOKUP(C812,Table8[],2,0)</f>
        <v>627200</v>
      </c>
      <c r="K812">
        <f>ROUND(J812*VLOOKUP(F812,Sheet3!$A$106:$C$111,2,FALSE),0)</f>
        <v>188160</v>
      </c>
      <c r="L812">
        <f t="shared" si="84"/>
        <v>439040</v>
      </c>
      <c r="M812">
        <f t="shared" si="85"/>
        <v>70</v>
      </c>
      <c r="N812" t="str">
        <f t="shared" si="88"/>
        <v>No</v>
      </c>
      <c r="O812">
        <f t="shared" si="89"/>
        <v>0</v>
      </c>
      <c r="P812" t="str">
        <f t="shared" si="90"/>
        <v>None</v>
      </c>
      <c r="Q812" t="s">
        <v>124</v>
      </c>
    </row>
    <row r="813" spans="1:17" x14ac:dyDescent="0.3">
      <c r="A813">
        <v>812</v>
      </c>
      <c r="B813" t="s">
        <v>26</v>
      </c>
      <c r="C813" s="1">
        <v>45992</v>
      </c>
      <c r="D813" t="s">
        <v>28</v>
      </c>
      <c r="E813" t="s">
        <v>34</v>
      </c>
      <c r="F813" s="2" t="s">
        <v>36</v>
      </c>
      <c r="G813" t="str">
        <f t="shared" si="86"/>
        <v>Eden Juicy Apple 01-USA</v>
      </c>
      <c r="H813">
        <f t="shared" si="87"/>
        <v>3413</v>
      </c>
      <c r="I813">
        <f>VLOOKUP(G813,Table4[[SKU-COUNTRY2]:[Price in USD]],2,FALSE)</f>
        <v>105</v>
      </c>
      <c r="J813">
        <f>VLOOKUP(G813,Sheet3!$C$82:$I$100,MATCH(E813,Sheet3!C$82:H$82,0),FALSE) * VLOOKUP(C813,Table8[],2,0)</f>
        <v>358400</v>
      </c>
      <c r="K813">
        <f>ROUND(J813*VLOOKUP(F813,Sheet3!$A$106:$C$111,2,FALSE),0)</f>
        <v>111104</v>
      </c>
      <c r="L813">
        <f t="shared" si="84"/>
        <v>247296</v>
      </c>
      <c r="M813">
        <f t="shared" si="85"/>
        <v>69</v>
      </c>
      <c r="N813" t="str">
        <f t="shared" si="88"/>
        <v>No</v>
      </c>
      <c r="O813">
        <f t="shared" si="89"/>
        <v>0</v>
      </c>
      <c r="P813" t="str">
        <f t="shared" si="90"/>
        <v>None</v>
      </c>
      <c r="Q813" t="s">
        <v>124</v>
      </c>
    </row>
    <row r="814" spans="1:17" x14ac:dyDescent="0.3">
      <c r="A814">
        <v>813</v>
      </c>
      <c r="B814" t="s">
        <v>26</v>
      </c>
      <c r="C814" s="1">
        <v>45992</v>
      </c>
      <c r="D814" t="s">
        <v>28</v>
      </c>
      <c r="E814" t="s">
        <v>34</v>
      </c>
      <c r="F814" s="2" t="s">
        <v>37</v>
      </c>
      <c r="G814" t="str">
        <f t="shared" si="86"/>
        <v>Oudgasm Tobacco Oud 04-USA</v>
      </c>
      <c r="H814">
        <f t="shared" si="87"/>
        <v>2304</v>
      </c>
      <c r="I814">
        <f>VLOOKUP(G814,Table4[[SKU-COUNTRY2]:[Price in USD]],2,FALSE)</f>
        <v>140</v>
      </c>
      <c r="J814">
        <f>VLOOKUP(G814,Sheet3!$C$82:$I$100,MATCH(E814,Sheet3!C$82:H$82,0),FALSE) * VLOOKUP(C814,Table8[],2,0)</f>
        <v>322560</v>
      </c>
      <c r="K814">
        <f>ROUND(J814*VLOOKUP(F814,Sheet3!$A$106:$C$111,2,FALSE),0)</f>
        <v>112896</v>
      </c>
      <c r="L814">
        <f t="shared" si="84"/>
        <v>209664</v>
      </c>
      <c r="M814">
        <f t="shared" si="85"/>
        <v>65</v>
      </c>
      <c r="N814" t="str">
        <f t="shared" si="88"/>
        <v>No</v>
      </c>
      <c r="O814">
        <f t="shared" si="89"/>
        <v>0</v>
      </c>
      <c r="P814" t="str">
        <f t="shared" si="90"/>
        <v>None</v>
      </c>
      <c r="Q814" t="s">
        <v>124</v>
      </c>
    </row>
    <row r="815" spans="1:17" x14ac:dyDescent="0.3">
      <c r="A815">
        <v>814</v>
      </c>
      <c r="B815" t="s">
        <v>26</v>
      </c>
      <c r="C815" s="1">
        <v>45992</v>
      </c>
      <c r="D815" t="s">
        <v>28</v>
      </c>
      <c r="E815" t="s">
        <v>34</v>
      </c>
      <c r="F815" s="2" t="s">
        <v>38</v>
      </c>
      <c r="G815" t="str">
        <f t="shared" si="86"/>
        <v>Yum Pistachio Gelato 33-USA</v>
      </c>
      <c r="H815">
        <f t="shared" si="87"/>
        <v>2048</v>
      </c>
      <c r="I815">
        <f>VLOOKUP(G815,Table4[[SKU-COUNTRY2]:[Price in USD]],2,FALSE)</f>
        <v>105</v>
      </c>
      <c r="J815">
        <f>VLOOKUP(G815,Sheet3!$C$82:$I$100,MATCH(E815,Sheet3!C$82:H$82,0),FALSE) * VLOOKUP(C815,Table8[],2,0)</f>
        <v>215040</v>
      </c>
      <c r="K815">
        <f>ROUND(J815*VLOOKUP(F815,Sheet3!$A$106:$C$111,2,FALSE),0)</f>
        <v>66662</v>
      </c>
      <c r="L815">
        <f t="shared" si="84"/>
        <v>148378</v>
      </c>
      <c r="M815">
        <f t="shared" si="85"/>
        <v>69</v>
      </c>
      <c r="N815" t="str">
        <f t="shared" si="88"/>
        <v>No</v>
      </c>
      <c r="O815">
        <f t="shared" si="89"/>
        <v>0</v>
      </c>
      <c r="P815" t="str">
        <f t="shared" si="90"/>
        <v>None</v>
      </c>
      <c r="Q815" t="s">
        <v>124</v>
      </c>
    </row>
    <row r="816" spans="1:17" x14ac:dyDescent="0.3">
      <c r="A816">
        <v>815</v>
      </c>
      <c r="B816" t="s">
        <v>26</v>
      </c>
      <c r="C816" s="1">
        <v>45992</v>
      </c>
      <c r="D816" t="s">
        <v>28</v>
      </c>
      <c r="E816" t="s">
        <v>34</v>
      </c>
      <c r="F816" s="2" t="s">
        <v>39</v>
      </c>
      <c r="G816" t="str">
        <f t="shared" si="86"/>
        <v>Freedom Musk Santal 34-USA</v>
      </c>
      <c r="H816">
        <f t="shared" si="87"/>
        <v>1707</v>
      </c>
      <c r="I816">
        <f>VLOOKUP(G816,Table4[[SKU-COUNTRY2]:[Price in USD]],2,FALSE)</f>
        <v>105</v>
      </c>
      <c r="J816">
        <f>VLOOKUP(G816,Sheet3!$C$82:$I$100,MATCH(E816,Sheet3!C$82:H$82,0),FALSE) * VLOOKUP(C816,Table8[],2,0)</f>
        <v>179200</v>
      </c>
      <c r="K816">
        <f>ROUND(J816*VLOOKUP(F816,Sheet3!$A$106:$C$111,2,FALSE),0)</f>
        <v>57344</v>
      </c>
      <c r="L816">
        <f t="shared" si="84"/>
        <v>121856</v>
      </c>
      <c r="M816">
        <f t="shared" si="85"/>
        <v>68</v>
      </c>
      <c r="N816" t="str">
        <f t="shared" si="88"/>
        <v>No</v>
      </c>
      <c r="O816">
        <f t="shared" si="89"/>
        <v>0</v>
      </c>
      <c r="P816" t="str">
        <f t="shared" si="90"/>
        <v>None</v>
      </c>
      <c r="Q816" t="s">
        <v>124</v>
      </c>
    </row>
    <row r="817" spans="1:17" x14ac:dyDescent="0.3">
      <c r="A817">
        <v>816</v>
      </c>
      <c r="B817" t="s">
        <v>26</v>
      </c>
      <c r="C817" s="1">
        <v>45992</v>
      </c>
      <c r="D817" t="s">
        <v>28</v>
      </c>
      <c r="E817" t="s">
        <v>34</v>
      </c>
      <c r="F817" s="2" t="s">
        <v>40</v>
      </c>
      <c r="G817" t="str">
        <f t="shared" si="86"/>
        <v>Musk 12-USA</v>
      </c>
      <c r="H817">
        <f t="shared" si="87"/>
        <v>853</v>
      </c>
      <c r="I817">
        <f>VLOOKUP(G817,Table4[[SKU-COUNTRY2]:[Price in USD]],2,FALSE)</f>
        <v>105</v>
      </c>
      <c r="J817">
        <f>VLOOKUP(G817,Sheet3!$C$82:$I$100,MATCH(E817,Sheet3!C$82:H$82,0),FALSE) * VLOOKUP(C817,Table8[],2,0)</f>
        <v>89600</v>
      </c>
      <c r="K817">
        <f>ROUND(J817*VLOOKUP(F817,Sheet3!$A$106:$C$111,2,FALSE),0)</f>
        <v>26880</v>
      </c>
      <c r="L817">
        <f t="shared" si="84"/>
        <v>62720</v>
      </c>
      <c r="M817">
        <f t="shared" si="85"/>
        <v>70</v>
      </c>
      <c r="N817" t="str">
        <f t="shared" si="88"/>
        <v>No</v>
      </c>
      <c r="O817">
        <f t="shared" si="89"/>
        <v>0</v>
      </c>
      <c r="P817" t="str">
        <f t="shared" si="90"/>
        <v>None</v>
      </c>
      <c r="Q817" t="s">
        <v>124</v>
      </c>
    </row>
    <row r="818" spans="1:17" x14ac:dyDescent="0.3">
      <c r="A818">
        <v>817</v>
      </c>
      <c r="B818" t="s">
        <v>26</v>
      </c>
      <c r="C818" s="1">
        <v>45992</v>
      </c>
      <c r="D818" t="s">
        <v>27</v>
      </c>
      <c r="E818" t="s">
        <v>32</v>
      </c>
      <c r="F818" s="2" t="s">
        <v>35</v>
      </c>
      <c r="G818" t="str">
        <f t="shared" si="86"/>
        <v>Vanilla 28-UK</v>
      </c>
      <c r="H818">
        <f t="shared" si="87"/>
        <v>3780</v>
      </c>
      <c r="I818">
        <f>VLOOKUP(G818,Table4[[SKU-COUNTRY2]:[Price in USD]],2,FALSE)</f>
        <v>101.6</v>
      </c>
      <c r="J818">
        <f>VLOOKUP(G818,Sheet3!$C$82:$I$100,MATCH(E818,Sheet3!C$82:H$82,0),FALSE) * VLOOKUP(C818,Table8[],2,0)</f>
        <v>384000</v>
      </c>
      <c r="K818">
        <f>ROUND(J818*VLOOKUP(F818,Sheet3!$A$106:$C$111,2,FALSE),0)</f>
        <v>115200</v>
      </c>
      <c r="L818">
        <f t="shared" si="84"/>
        <v>268800</v>
      </c>
      <c r="M818">
        <f t="shared" si="85"/>
        <v>70</v>
      </c>
      <c r="N818" t="str">
        <f t="shared" si="88"/>
        <v>No</v>
      </c>
      <c r="O818">
        <f t="shared" si="89"/>
        <v>0</v>
      </c>
      <c r="P818" t="str">
        <f t="shared" si="90"/>
        <v>None</v>
      </c>
      <c r="Q818" t="s">
        <v>124</v>
      </c>
    </row>
    <row r="819" spans="1:17" x14ac:dyDescent="0.3">
      <c r="A819">
        <v>818</v>
      </c>
      <c r="B819" t="s">
        <v>26</v>
      </c>
      <c r="C819" s="1">
        <v>45992</v>
      </c>
      <c r="D819" t="s">
        <v>27</v>
      </c>
      <c r="E819" t="s">
        <v>32</v>
      </c>
      <c r="F819" s="2" t="s">
        <v>36</v>
      </c>
      <c r="G819" t="str">
        <f t="shared" si="86"/>
        <v>Eden Juicy Apple 01-UK</v>
      </c>
      <c r="H819">
        <f t="shared" si="87"/>
        <v>2772</v>
      </c>
      <c r="I819">
        <f>VLOOKUP(G819,Table4[[SKU-COUNTRY2]:[Price in USD]],2,FALSE)</f>
        <v>101.6</v>
      </c>
      <c r="J819">
        <f>VLOOKUP(G819,Sheet3!$C$82:$I$100,MATCH(E819,Sheet3!C$82:H$82,0),FALSE) * VLOOKUP(C819,Table8[],2,0)</f>
        <v>281600</v>
      </c>
      <c r="K819">
        <f>ROUND(J819*VLOOKUP(F819,Sheet3!$A$106:$C$111,2,FALSE),0)</f>
        <v>87296</v>
      </c>
      <c r="L819">
        <f t="shared" si="84"/>
        <v>194304</v>
      </c>
      <c r="M819">
        <f t="shared" si="85"/>
        <v>69</v>
      </c>
      <c r="N819" t="str">
        <f t="shared" si="88"/>
        <v>No</v>
      </c>
      <c r="O819">
        <f t="shared" si="89"/>
        <v>0</v>
      </c>
      <c r="P819" t="str">
        <f t="shared" si="90"/>
        <v>None</v>
      </c>
      <c r="Q819" t="s">
        <v>124</v>
      </c>
    </row>
    <row r="820" spans="1:17" x14ac:dyDescent="0.3">
      <c r="A820">
        <v>819</v>
      </c>
      <c r="B820" t="s">
        <v>26</v>
      </c>
      <c r="C820" s="1">
        <v>45992</v>
      </c>
      <c r="D820" t="s">
        <v>27</v>
      </c>
      <c r="E820" t="s">
        <v>32</v>
      </c>
      <c r="F820" s="2" t="s">
        <v>37</v>
      </c>
      <c r="G820" t="str">
        <f t="shared" si="86"/>
        <v>Oudgasm Tobacco Oud 04-UK</v>
      </c>
      <c r="H820">
        <f t="shared" si="87"/>
        <v>1525</v>
      </c>
      <c r="I820">
        <f>VLOOKUP(G820,Table4[[SKU-COUNTRY2]:[Price in USD]],2,FALSE)</f>
        <v>151.13</v>
      </c>
      <c r="J820">
        <f>VLOOKUP(G820,Sheet3!$C$82:$I$100,MATCH(E820,Sheet3!C$82:H$82,0),FALSE) * VLOOKUP(C820,Table8[],2,0)</f>
        <v>230400</v>
      </c>
      <c r="K820">
        <f>ROUND(J820*VLOOKUP(F820,Sheet3!$A$106:$C$111,2,FALSE),0)</f>
        <v>80640</v>
      </c>
      <c r="L820">
        <f t="shared" si="84"/>
        <v>149760</v>
      </c>
      <c r="M820">
        <f t="shared" si="85"/>
        <v>65</v>
      </c>
      <c r="N820" t="str">
        <f t="shared" si="88"/>
        <v>No</v>
      </c>
      <c r="O820">
        <f t="shared" si="89"/>
        <v>0</v>
      </c>
      <c r="P820" t="str">
        <f t="shared" si="90"/>
        <v>None</v>
      </c>
      <c r="Q820" t="s">
        <v>124</v>
      </c>
    </row>
    <row r="821" spans="1:17" x14ac:dyDescent="0.3">
      <c r="A821">
        <v>820</v>
      </c>
      <c r="B821" t="s">
        <v>26</v>
      </c>
      <c r="C821" s="1">
        <v>45992</v>
      </c>
      <c r="D821" t="s">
        <v>27</v>
      </c>
      <c r="E821" t="s">
        <v>32</v>
      </c>
      <c r="F821" s="2" t="s">
        <v>38</v>
      </c>
      <c r="G821" t="str">
        <f t="shared" si="86"/>
        <v>Yum Pistachio Gelato 33-UK</v>
      </c>
      <c r="H821">
        <f t="shared" si="87"/>
        <v>1638</v>
      </c>
      <c r="I821">
        <f>VLOOKUP(G821,Table4[[SKU-COUNTRY2]:[Price in USD]],2,FALSE)</f>
        <v>101.6</v>
      </c>
      <c r="J821">
        <f>VLOOKUP(G821,Sheet3!$C$82:$I$100,MATCH(E821,Sheet3!C$82:H$82,0),FALSE) * VLOOKUP(C821,Table8[],2,0)</f>
        <v>166400</v>
      </c>
      <c r="K821">
        <f>ROUND(J821*VLOOKUP(F821,Sheet3!$A$106:$C$111,2,FALSE),0)</f>
        <v>51584</v>
      </c>
      <c r="L821">
        <f t="shared" si="84"/>
        <v>114816</v>
      </c>
      <c r="M821">
        <f t="shared" si="85"/>
        <v>69</v>
      </c>
      <c r="N821" t="str">
        <f t="shared" si="88"/>
        <v>No</v>
      </c>
      <c r="O821">
        <f t="shared" si="89"/>
        <v>0</v>
      </c>
      <c r="P821" t="str">
        <f t="shared" si="90"/>
        <v>None</v>
      </c>
      <c r="Q821" t="s">
        <v>124</v>
      </c>
    </row>
    <row r="822" spans="1:17" x14ac:dyDescent="0.3">
      <c r="A822">
        <v>821</v>
      </c>
      <c r="B822" t="s">
        <v>26</v>
      </c>
      <c r="C822" s="1">
        <v>45992</v>
      </c>
      <c r="D822" t="s">
        <v>27</v>
      </c>
      <c r="E822" t="s">
        <v>32</v>
      </c>
      <c r="F822" s="2" t="s">
        <v>39</v>
      </c>
      <c r="G822" t="str">
        <f t="shared" si="86"/>
        <v>Freedom Musk Santal 34-UK</v>
      </c>
      <c r="H822">
        <f t="shared" si="87"/>
        <v>1260</v>
      </c>
      <c r="I822">
        <f>VLOOKUP(G822,Table4[[SKU-COUNTRY2]:[Price in USD]],2,FALSE)</f>
        <v>101.6</v>
      </c>
      <c r="J822">
        <f>VLOOKUP(G822,Sheet3!$C$82:$I$100,MATCH(E822,Sheet3!C$82:H$82,0),FALSE) * VLOOKUP(C822,Table8[],2,0)</f>
        <v>128000</v>
      </c>
      <c r="K822">
        <f>ROUND(J822*VLOOKUP(F822,Sheet3!$A$106:$C$111,2,FALSE),0)</f>
        <v>40960</v>
      </c>
      <c r="L822">
        <f t="shared" si="84"/>
        <v>87040</v>
      </c>
      <c r="M822">
        <f t="shared" si="85"/>
        <v>68</v>
      </c>
      <c r="N822" t="str">
        <f t="shared" si="88"/>
        <v>No</v>
      </c>
      <c r="O822">
        <f t="shared" si="89"/>
        <v>0</v>
      </c>
      <c r="P822" t="str">
        <f t="shared" si="90"/>
        <v>None</v>
      </c>
      <c r="Q822" t="s">
        <v>124</v>
      </c>
    </row>
    <row r="823" spans="1:17" x14ac:dyDescent="0.3">
      <c r="A823">
        <v>822</v>
      </c>
      <c r="B823" t="s">
        <v>26</v>
      </c>
      <c r="C823" s="1">
        <v>45992</v>
      </c>
      <c r="D823" t="s">
        <v>27</v>
      </c>
      <c r="E823" t="s">
        <v>32</v>
      </c>
      <c r="F823" s="2" t="s">
        <v>40</v>
      </c>
      <c r="G823" t="str">
        <f t="shared" si="86"/>
        <v>Musk 12-UK</v>
      </c>
      <c r="H823">
        <f t="shared" si="87"/>
        <v>882</v>
      </c>
      <c r="I823">
        <f>VLOOKUP(G823,Table4[[SKU-COUNTRY2]:[Price in USD]],2,FALSE)</f>
        <v>101.6</v>
      </c>
      <c r="J823">
        <f>VLOOKUP(G823,Sheet3!$C$82:$I$100,MATCH(E823,Sheet3!C$82:H$82,0),FALSE) * VLOOKUP(C823,Table8[],2,0)</f>
        <v>89600.000000000015</v>
      </c>
      <c r="K823">
        <f>ROUND(J823*VLOOKUP(F823,Sheet3!$A$106:$C$111,2,FALSE),0)</f>
        <v>26880</v>
      </c>
      <c r="L823">
        <f t="shared" si="84"/>
        <v>62720.000000000015</v>
      </c>
      <c r="M823">
        <f t="shared" si="85"/>
        <v>70</v>
      </c>
      <c r="N823" t="str">
        <f t="shared" si="88"/>
        <v>No</v>
      </c>
      <c r="O823">
        <f t="shared" si="89"/>
        <v>0</v>
      </c>
      <c r="P823" t="str">
        <f t="shared" si="90"/>
        <v>None</v>
      </c>
      <c r="Q823" t="s">
        <v>124</v>
      </c>
    </row>
    <row r="824" spans="1:17" x14ac:dyDescent="0.3">
      <c r="A824">
        <v>823</v>
      </c>
      <c r="B824" t="s">
        <v>26</v>
      </c>
      <c r="C824" s="1">
        <v>45992</v>
      </c>
      <c r="D824" t="s">
        <v>27</v>
      </c>
      <c r="E824" t="s">
        <v>31</v>
      </c>
      <c r="F824" s="2" t="s">
        <v>35</v>
      </c>
      <c r="G824" t="str">
        <f t="shared" si="86"/>
        <v>Vanilla 28-UK</v>
      </c>
      <c r="H824">
        <f t="shared" si="87"/>
        <v>1890</v>
      </c>
      <c r="I824">
        <f>VLOOKUP(G824,Table4[[SKU-COUNTRY2]:[Price in USD]],2,FALSE)</f>
        <v>101.6</v>
      </c>
      <c r="J824">
        <f>VLOOKUP(G824,Sheet3!$C$82:$I$100,MATCH(E824,Sheet3!C$82:H$82,0),FALSE) * VLOOKUP(C824,Table8[],2,0)</f>
        <v>192000</v>
      </c>
      <c r="K824">
        <f>ROUND(J824*VLOOKUP(F824,Sheet3!$A$106:$C$111,2,FALSE),0)</f>
        <v>57600</v>
      </c>
      <c r="L824">
        <f t="shared" si="84"/>
        <v>134400</v>
      </c>
      <c r="M824">
        <f t="shared" si="85"/>
        <v>70</v>
      </c>
      <c r="N824" t="str">
        <f t="shared" si="88"/>
        <v>No</v>
      </c>
      <c r="O824">
        <f t="shared" si="89"/>
        <v>0</v>
      </c>
      <c r="P824" t="str">
        <f t="shared" si="90"/>
        <v>None</v>
      </c>
      <c r="Q824" t="s">
        <v>124</v>
      </c>
    </row>
    <row r="825" spans="1:17" x14ac:dyDescent="0.3">
      <c r="A825">
        <v>824</v>
      </c>
      <c r="B825" t="s">
        <v>26</v>
      </c>
      <c r="C825" s="1">
        <v>45992</v>
      </c>
      <c r="D825" t="s">
        <v>27</v>
      </c>
      <c r="E825" t="s">
        <v>31</v>
      </c>
      <c r="F825" s="2" t="s">
        <v>36</v>
      </c>
      <c r="G825" t="str">
        <f t="shared" si="86"/>
        <v>Eden Juicy Apple 01-UK</v>
      </c>
      <c r="H825">
        <f t="shared" si="87"/>
        <v>1386</v>
      </c>
      <c r="I825">
        <f>VLOOKUP(G825,Table4[[SKU-COUNTRY2]:[Price in USD]],2,FALSE)</f>
        <v>101.6</v>
      </c>
      <c r="J825">
        <f>VLOOKUP(G825,Sheet3!$C$82:$I$100,MATCH(E825,Sheet3!C$82:H$82,0),FALSE) * VLOOKUP(C825,Table8[],2,0)</f>
        <v>140800</v>
      </c>
      <c r="K825">
        <f>ROUND(J825*VLOOKUP(F825,Sheet3!$A$106:$C$111,2,FALSE),0)</f>
        <v>43648</v>
      </c>
      <c r="L825">
        <f t="shared" si="84"/>
        <v>97152</v>
      </c>
      <c r="M825">
        <f t="shared" si="85"/>
        <v>69</v>
      </c>
      <c r="N825" t="str">
        <f t="shared" si="88"/>
        <v>No</v>
      </c>
      <c r="O825">
        <f t="shared" si="89"/>
        <v>0</v>
      </c>
      <c r="P825" t="str">
        <f t="shared" si="90"/>
        <v>None</v>
      </c>
      <c r="Q825" t="s">
        <v>124</v>
      </c>
    </row>
    <row r="826" spans="1:17" x14ac:dyDescent="0.3">
      <c r="A826">
        <v>825</v>
      </c>
      <c r="B826" t="s">
        <v>26</v>
      </c>
      <c r="C826" s="1">
        <v>45992</v>
      </c>
      <c r="D826" t="s">
        <v>27</v>
      </c>
      <c r="E826" t="s">
        <v>31</v>
      </c>
      <c r="F826" s="2" t="s">
        <v>37</v>
      </c>
      <c r="G826" t="str">
        <f t="shared" si="86"/>
        <v>Oudgasm Tobacco Oud 04-UK</v>
      </c>
      <c r="H826">
        <f t="shared" si="87"/>
        <v>762</v>
      </c>
      <c r="I826">
        <f>VLOOKUP(G826,Table4[[SKU-COUNTRY2]:[Price in USD]],2,FALSE)</f>
        <v>151.13</v>
      </c>
      <c r="J826">
        <f>VLOOKUP(G826,Sheet3!$C$82:$I$100,MATCH(E826,Sheet3!C$82:H$82,0),FALSE) * VLOOKUP(C826,Table8[],2,0)</f>
        <v>115200</v>
      </c>
      <c r="K826">
        <f>ROUND(J826*VLOOKUP(F826,Sheet3!$A$106:$C$111,2,FALSE),0)</f>
        <v>40320</v>
      </c>
      <c r="L826">
        <f t="shared" si="84"/>
        <v>74880</v>
      </c>
      <c r="M826">
        <f t="shared" si="85"/>
        <v>65</v>
      </c>
      <c r="N826" t="str">
        <f t="shared" si="88"/>
        <v>No</v>
      </c>
      <c r="O826">
        <f t="shared" si="89"/>
        <v>0</v>
      </c>
      <c r="P826" t="str">
        <f t="shared" si="90"/>
        <v>None</v>
      </c>
      <c r="Q826" t="s">
        <v>124</v>
      </c>
    </row>
    <row r="827" spans="1:17" x14ac:dyDescent="0.3">
      <c r="A827">
        <v>826</v>
      </c>
      <c r="B827" t="s">
        <v>26</v>
      </c>
      <c r="C827" s="1">
        <v>45992</v>
      </c>
      <c r="D827" t="s">
        <v>27</v>
      </c>
      <c r="E827" t="s">
        <v>31</v>
      </c>
      <c r="F827" s="2" t="s">
        <v>38</v>
      </c>
      <c r="G827" t="str">
        <f t="shared" si="86"/>
        <v>Yum Pistachio Gelato 33-UK</v>
      </c>
      <c r="H827">
        <f t="shared" si="87"/>
        <v>819</v>
      </c>
      <c r="I827">
        <f>VLOOKUP(G827,Table4[[SKU-COUNTRY2]:[Price in USD]],2,FALSE)</f>
        <v>101.6</v>
      </c>
      <c r="J827">
        <f>VLOOKUP(G827,Sheet3!$C$82:$I$100,MATCH(E827,Sheet3!C$82:H$82,0),FALSE) * VLOOKUP(C827,Table8[],2,0)</f>
        <v>83200</v>
      </c>
      <c r="K827">
        <f>ROUND(J827*VLOOKUP(F827,Sheet3!$A$106:$C$111,2,FALSE),0)</f>
        <v>25792</v>
      </c>
      <c r="L827">
        <f t="shared" si="84"/>
        <v>57408</v>
      </c>
      <c r="M827">
        <f t="shared" si="85"/>
        <v>69</v>
      </c>
      <c r="N827" t="str">
        <f t="shared" si="88"/>
        <v>No</v>
      </c>
      <c r="O827">
        <f t="shared" si="89"/>
        <v>0</v>
      </c>
      <c r="P827" t="str">
        <f t="shared" si="90"/>
        <v>None</v>
      </c>
      <c r="Q827" t="s">
        <v>124</v>
      </c>
    </row>
    <row r="828" spans="1:17" x14ac:dyDescent="0.3">
      <c r="A828">
        <v>827</v>
      </c>
      <c r="B828" t="s">
        <v>26</v>
      </c>
      <c r="C828" s="1">
        <v>45992</v>
      </c>
      <c r="D828" t="s">
        <v>27</v>
      </c>
      <c r="E828" t="s">
        <v>31</v>
      </c>
      <c r="F828" s="2" t="s">
        <v>39</v>
      </c>
      <c r="G828" t="str">
        <f t="shared" si="86"/>
        <v>Freedom Musk Santal 34-UK</v>
      </c>
      <c r="H828">
        <f t="shared" si="87"/>
        <v>630</v>
      </c>
      <c r="I828">
        <f>VLOOKUP(G828,Table4[[SKU-COUNTRY2]:[Price in USD]],2,FALSE)</f>
        <v>101.6</v>
      </c>
      <c r="J828">
        <f>VLOOKUP(G828,Sheet3!$C$82:$I$100,MATCH(E828,Sheet3!C$82:H$82,0),FALSE) * VLOOKUP(C828,Table8[],2,0)</f>
        <v>64000</v>
      </c>
      <c r="K828">
        <f>ROUND(J828*VLOOKUP(F828,Sheet3!$A$106:$C$111,2,FALSE),0)</f>
        <v>20480</v>
      </c>
      <c r="L828">
        <f t="shared" si="84"/>
        <v>43520</v>
      </c>
      <c r="M828">
        <f t="shared" si="85"/>
        <v>68</v>
      </c>
      <c r="N828" t="str">
        <f t="shared" si="88"/>
        <v>No</v>
      </c>
      <c r="O828">
        <f t="shared" si="89"/>
        <v>0</v>
      </c>
      <c r="P828" t="str">
        <f t="shared" si="90"/>
        <v>None</v>
      </c>
      <c r="Q828" t="s">
        <v>124</v>
      </c>
    </row>
    <row r="829" spans="1:17" x14ac:dyDescent="0.3">
      <c r="A829">
        <v>828</v>
      </c>
      <c r="B829" t="s">
        <v>26</v>
      </c>
      <c r="C829" s="1">
        <v>45992</v>
      </c>
      <c r="D829" t="s">
        <v>27</v>
      </c>
      <c r="E829" t="s">
        <v>31</v>
      </c>
      <c r="F829" s="2" t="s">
        <v>40</v>
      </c>
      <c r="G829" t="str">
        <f t="shared" si="86"/>
        <v>Musk 12-UK</v>
      </c>
      <c r="H829">
        <f t="shared" si="87"/>
        <v>441</v>
      </c>
      <c r="I829">
        <f>VLOOKUP(G829,Table4[[SKU-COUNTRY2]:[Price in USD]],2,FALSE)</f>
        <v>101.6</v>
      </c>
      <c r="J829">
        <f>VLOOKUP(G829,Sheet3!$C$82:$I$100,MATCH(E829,Sheet3!C$82:H$82,0),FALSE) * VLOOKUP(C829,Table8[],2,0)</f>
        <v>44800.000000000007</v>
      </c>
      <c r="K829">
        <f>ROUND(J829*VLOOKUP(F829,Sheet3!$A$106:$C$111,2,FALSE),0)</f>
        <v>13440</v>
      </c>
      <c r="L829">
        <f t="shared" si="84"/>
        <v>31360.000000000007</v>
      </c>
      <c r="M829">
        <f t="shared" si="85"/>
        <v>70</v>
      </c>
      <c r="N829" t="str">
        <f t="shared" si="88"/>
        <v>No</v>
      </c>
      <c r="O829">
        <f t="shared" si="89"/>
        <v>0</v>
      </c>
      <c r="P829" t="str">
        <f t="shared" si="90"/>
        <v>None</v>
      </c>
      <c r="Q829" t="s">
        <v>124</v>
      </c>
    </row>
    <row r="830" spans="1:17" x14ac:dyDescent="0.3">
      <c r="A830">
        <v>829</v>
      </c>
      <c r="B830" t="s">
        <v>26</v>
      </c>
      <c r="C830" s="1">
        <v>45992</v>
      </c>
      <c r="D830" t="s">
        <v>27</v>
      </c>
      <c r="E830" t="s">
        <v>33</v>
      </c>
      <c r="F830" s="2" t="s">
        <v>35</v>
      </c>
      <c r="G830" t="str">
        <f t="shared" si="86"/>
        <v>Vanilla 28-UK</v>
      </c>
      <c r="H830">
        <f t="shared" si="87"/>
        <v>1417</v>
      </c>
      <c r="I830">
        <f>VLOOKUP(G830,Table4[[SKU-COUNTRY2]:[Price in USD]],2,FALSE)</f>
        <v>101.6</v>
      </c>
      <c r="J830">
        <f>VLOOKUP(G830,Sheet3!$C$82:$I$100,MATCH(E830,Sheet3!C$82:H$82,0),FALSE) * VLOOKUP(C830,Table8[],2,0)</f>
        <v>144000</v>
      </c>
      <c r="K830">
        <f>ROUND(J830*VLOOKUP(F830,Sheet3!$A$106:$C$111,2,FALSE),0)</f>
        <v>43200</v>
      </c>
      <c r="L830">
        <f t="shared" si="84"/>
        <v>100800</v>
      </c>
      <c r="M830">
        <f t="shared" si="85"/>
        <v>70</v>
      </c>
      <c r="N830" t="str">
        <f t="shared" si="88"/>
        <v>No</v>
      </c>
      <c r="O830">
        <f t="shared" si="89"/>
        <v>0</v>
      </c>
      <c r="P830" t="str">
        <f t="shared" si="90"/>
        <v>None</v>
      </c>
      <c r="Q830" t="s">
        <v>124</v>
      </c>
    </row>
    <row r="831" spans="1:17" x14ac:dyDescent="0.3">
      <c r="A831">
        <v>830</v>
      </c>
      <c r="B831" t="s">
        <v>26</v>
      </c>
      <c r="C831" s="1">
        <v>45992</v>
      </c>
      <c r="D831" t="s">
        <v>27</v>
      </c>
      <c r="E831" t="s">
        <v>33</v>
      </c>
      <c r="F831" s="2" t="s">
        <v>36</v>
      </c>
      <c r="G831" t="str">
        <f t="shared" si="86"/>
        <v>Eden Juicy Apple 01-UK</v>
      </c>
      <c r="H831">
        <f t="shared" si="87"/>
        <v>1039</v>
      </c>
      <c r="I831">
        <f>VLOOKUP(G831,Table4[[SKU-COUNTRY2]:[Price in USD]],2,FALSE)</f>
        <v>101.6</v>
      </c>
      <c r="J831">
        <f>VLOOKUP(G831,Sheet3!$C$82:$I$100,MATCH(E831,Sheet3!C$82:H$82,0),FALSE) * VLOOKUP(C831,Table8[],2,0)</f>
        <v>105600</v>
      </c>
      <c r="K831">
        <f>ROUND(J831*VLOOKUP(F831,Sheet3!$A$106:$C$111,2,FALSE),0)</f>
        <v>32736</v>
      </c>
      <c r="L831">
        <f t="shared" si="84"/>
        <v>72864</v>
      </c>
      <c r="M831">
        <f t="shared" si="85"/>
        <v>69</v>
      </c>
      <c r="N831" t="str">
        <f t="shared" si="88"/>
        <v>No</v>
      </c>
      <c r="O831">
        <f t="shared" si="89"/>
        <v>0</v>
      </c>
      <c r="P831" t="str">
        <f t="shared" si="90"/>
        <v>None</v>
      </c>
      <c r="Q831" t="s">
        <v>124</v>
      </c>
    </row>
    <row r="832" spans="1:17" x14ac:dyDescent="0.3">
      <c r="A832">
        <v>831</v>
      </c>
      <c r="B832" t="s">
        <v>26</v>
      </c>
      <c r="C832" s="1">
        <v>45992</v>
      </c>
      <c r="D832" t="s">
        <v>27</v>
      </c>
      <c r="E832" t="s">
        <v>33</v>
      </c>
      <c r="F832" s="2" t="s">
        <v>37</v>
      </c>
      <c r="G832" t="str">
        <f t="shared" si="86"/>
        <v>Oudgasm Tobacco Oud 04-UK</v>
      </c>
      <c r="H832">
        <f t="shared" si="87"/>
        <v>572</v>
      </c>
      <c r="I832">
        <f>VLOOKUP(G832,Table4[[SKU-COUNTRY2]:[Price in USD]],2,FALSE)</f>
        <v>151.13</v>
      </c>
      <c r="J832">
        <f>VLOOKUP(G832,Sheet3!$C$82:$I$100,MATCH(E832,Sheet3!C$82:H$82,0),FALSE) * VLOOKUP(C832,Table8[],2,0)</f>
        <v>86400</v>
      </c>
      <c r="K832">
        <f>ROUND(J832*VLOOKUP(F832,Sheet3!$A$106:$C$111,2,FALSE),0)</f>
        <v>30240</v>
      </c>
      <c r="L832">
        <f t="shared" si="84"/>
        <v>56160</v>
      </c>
      <c r="M832">
        <f t="shared" si="85"/>
        <v>65</v>
      </c>
      <c r="N832" t="str">
        <f t="shared" si="88"/>
        <v>No</v>
      </c>
      <c r="O832">
        <f t="shared" si="89"/>
        <v>0</v>
      </c>
      <c r="P832" t="str">
        <f t="shared" si="90"/>
        <v>None</v>
      </c>
      <c r="Q832" t="s">
        <v>124</v>
      </c>
    </row>
    <row r="833" spans="1:17" x14ac:dyDescent="0.3">
      <c r="A833">
        <v>832</v>
      </c>
      <c r="B833" t="s">
        <v>26</v>
      </c>
      <c r="C833" s="1">
        <v>45992</v>
      </c>
      <c r="D833" t="s">
        <v>27</v>
      </c>
      <c r="E833" t="s">
        <v>33</v>
      </c>
      <c r="F833" s="2" t="s">
        <v>38</v>
      </c>
      <c r="G833" t="str">
        <f t="shared" si="86"/>
        <v>Yum Pistachio Gelato 33-UK</v>
      </c>
      <c r="H833">
        <f t="shared" si="87"/>
        <v>614</v>
      </c>
      <c r="I833">
        <f>VLOOKUP(G833,Table4[[SKU-COUNTRY2]:[Price in USD]],2,FALSE)</f>
        <v>101.6</v>
      </c>
      <c r="J833">
        <f>VLOOKUP(G833,Sheet3!$C$82:$I$100,MATCH(E833,Sheet3!C$82:H$82,0),FALSE) * VLOOKUP(C833,Table8[],2,0)</f>
        <v>62400</v>
      </c>
      <c r="K833">
        <f>ROUND(J833*VLOOKUP(F833,Sheet3!$A$106:$C$111,2,FALSE),0)</f>
        <v>19344</v>
      </c>
      <c r="L833">
        <f t="shared" si="84"/>
        <v>43056</v>
      </c>
      <c r="M833">
        <f t="shared" si="85"/>
        <v>69</v>
      </c>
      <c r="N833" t="str">
        <f t="shared" si="88"/>
        <v>No</v>
      </c>
      <c r="O833">
        <f t="shared" si="89"/>
        <v>0</v>
      </c>
      <c r="P833" t="str">
        <f t="shared" si="90"/>
        <v>None</v>
      </c>
      <c r="Q833" t="s">
        <v>124</v>
      </c>
    </row>
    <row r="834" spans="1:17" x14ac:dyDescent="0.3">
      <c r="A834">
        <v>833</v>
      </c>
      <c r="B834" t="s">
        <v>26</v>
      </c>
      <c r="C834" s="1">
        <v>45992</v>
      </c>
      <c r="D834" t="s">
        <v>27</v>
      </c>
      <c r="E834" t="s">
        <v>33</v>
      </c>
      <c r="F834" s="2" t="s">
        <v>39</v>
      </c>
      <c r="G834" t="str">
        <f t="shared" si="86"/>
        <v>Freedom Musk Santal 34-UK</v>
      </c>
      <c r="H834">
        <f t="shared" si="87"/>
        <v>472</v>
      </c>
      <c r="I834">
        <f>VLOOKUP(G834,Table4[[SKU-COUNTRY2]:[Price in USD]],2,FALSE)</f>
        <v>101.6</v>
      </c>
      <c r="J834">
        <f>VLOOKUP(G834,Sheet3!$C$82:$I$100,MATCH(E834,Sheet3!C$82:H$82,0),FALSE) * VLOOKUP(C834,Table8[],2,0)</f>
        <v>48000</v>
      </c>
      <c r="K834">
        <f>ROUND(J834*VLOOKUP(F834,Sheet3!$A$106:$C$111,2,FALSE),0)</f>
        <v>15360</v>
      </c>
      <c r="L834">
        <f t="shared" ref="L834:L897" si="91">J834-K834</f>
        <v>32640</v>
      </c>
      <c r="M834">
        <f t="shared" ref="M834:M897" si="92">ROUND(L834/J834*100, 1)</f>
        <v>68</v>
      </c>
      <c r="N834" t="str">
        <f t="shared" si="88"/>
        <v>No</v>
      </c>
      <c r="O834">
        <f t="shared" si="89"/>
        <v>0</v>
      </c>
      <c r="P834" t="str">
        <f t="shared" si="90"/>
        <v>None</v>
      </c>
      <c r="Q834" t="s">
        <v>124</v>
      </c>
    </row>
    <row r="835" spans="1:17" x14ac:dyDescent="0.3">
      <c r="A835">
        <v>834</v>
      </c>
      <c r="B835" t="s">
        <v>26</v>
      </c>
      <c r="C835" s="1">
        <v>45992</v>
      </c>
      <c r="D835" t="s">
        <v>27</v>
      </c>
      <c r="E835" t="s">
        <v>33</v>
      </c>
      <c r="F835" s="2" t="s">
        <v>40</v>
      </c>
      <c r="G835" t="str">
        <f t="shared" ref="G835:G865" si="93">_xlfn.CONCAT(F835,"-",D835,)</f>
        <v>Musk 12-UK</v>
      </c>
      <c r="H835">
        <f t="shared" ref="H835:H865" si="94">ROUND(J835/I835,0)</f>
        <v>331</v>
      </c>
      <c r="I835">
        <f>VLOOKUP(G835,Table4[[SKU-COUNTRY2]:[Price in USD]],2,FALSE)</f>
        <v>101.6</v>
      </c>
      <c r="J835">
        <f>VLOOKUP(G835,Sheet3!$C$82:$I$100,MATCH(E835,Sheet3!C$82:H$82,0),FALSE) * VLOOKUP(C835,Table8[],2,0)</f>
        <v>33600.000000000007</v>
      </c>
      <c r="K835">
        <f>ROUND(J835*VLOOKUP(F835,Sheet3!$A$106:$C$111,2,FALSE),0)</f>
        <v>10080</v>
      </c>
      <c r="L835">
        <f t="shared" si="91"/>
        <v>23520.000000000007</v>
      </c>
      <c r="M835">
        <f t="shared" si="92"/>
        <v>70</v>
      </c>
      <c r="N835" t="str">
        <f t="shared" ref="N835:N865" si="95">IF(OR(
    MONTH(C835)=2,
    AND(MONTH(C835)=3, D835="UAE"),
    AND(MONTH(C835)=6, D835="UAE"),
    AND(MONTH(C835)=7, OR(D835="USA", D835="UK")),
    MONTH(C835)=9,
    AND(MONTH(C835)=11, OR(D835="USA", D835="UK"))
), "Yes", "No")</f>
        <v>No</v>
      </c>
      <c r="O835">
        <f t="shared" ref="O835:O865" si="96">IF(MONTH(C835)=2, 15,
IF(AND(MONTH(C835)=3, D835="UAE"), 20,
IF(AND(MONTH(C835)=6, D835="UAE"), 15,
IF(AND(MONTH(C835)=7, OR(D835="USA", D835="UK")), 20,
IF(AND(MONTH(C835)=11, OR(D835="USA", D835="UK")), 25,
0)))))</f>
        <v>0</v>
      </c>
      <c r="P835" t="str">
        <f t="shared" ref="P835:P865" si="97">IF(MONTH(C835)=2, "Valentine's Day",
IF(AND(MONTH(C835)=3, D835="UAE"), "Eid Al Fitr",
IF(AND(MONTH(C835)=6, D835="UAE"), "Eid Al Adha",
IF(AND(MONTH(C835)=7, OR(D835="USA", D835="UK")), "Summer Sale",
IF(MONTH(C835)=9, "Freedom Launch",
IF(AND(MONTH(C835)=11, OR(D835="USA", D835="UK")), "Black Friday",
"None"))))))</f>
        <v>None</v>
      </c>
      <c r="Q835" t="s">
        <v>124</v>
      </c>
    </row>
    <row r="836" spans="1:17" x14ac:dyDescent="0.3">
      <c r="A836">
        <v>835</v>
      </c>
      <c r="B836" t="s">
        <v>26</v>
      </c>
      <c r="C836" s="1">
        <v>45992</v>
      </c>
      <c r="D836" t="s">
        <v>27</v>
      </c>
      <c r="E836" t="s">
        <v>34</v>
      </c>
      <c r="F836" s="2" t="s">
        <v>35</v>
      </c>
      <c r="G836" t="str">
        <f t="shared" si="93"/>
        <v>Vanilla 28-UK</v>
      </c>
      <c r="H836">
        <f t="shared" si="94"/>
        <v>2362</v>
      </c>
      <c r="I836">
        <f>VLOOKUP(G836,Table4[[SKU-COUNTRY2]:[Price in USD]],2,FALSE)</f>
        <v>101.6</v>
      </c>
      <c r="J836">
        <f>VLOOKUP(G836,Sheet3!$C$82:$I$100,MATCH(E836,Sheet3!C$82:H$82,0),FALSE) * VLOOKUP(C836,Table8[],2,0)</f>
        <v>240000</v>
      </c>
      <c r="K836">
        <f>ROUND(J836*VLOOKUP(F836,Sheet3!$A$106:$C$111,2,FALSE),0)</f>
        <v>72000</v>
      </c>
      <c r="L836">
        <f t="shared" si="91"/>
        <v>168000</v>
      </c>
      <c r="M836">
        <f t="shared" si="92"/>
        <v>70</v>
      </c>
      <c r="N836" t="str">
        <f t="shared" si="95"/>
        <v>No</v>
      </c>
      <c r="O836">
        <f t="shared" si="96"/>
        <v>0</v>
      </c>
      <c r="P836" t="str">
        <f t="shared" si="97"/>
        <v>None</v>
      </c>
      <c r="Q836" t="s">
        <v>124</v>
      </c>
    </row>
    <row r="837" spans="1:17" x14ac:dyDescent="0.3">
      <c r="A837">
        <v>836</v>
      </c>
      <c r="B837" t="s">
        <v>26</v>
      </c>
      <c r="C837" s="1">
        <v>45992</v>
      </c>
      <c r="D837" t="s">
        <v>27</v>
      </c>
      <c r="E837" t="s">
        <v>34</v>
      </c>
      <c r="F837" s="2" t="s">
        <v>36</v>
      </c>
      <c r="G837" t="str">
        <f t="shared" si="93"/>
        <v>Eden Juicy Apple 01-UK</v>
      </c>
      <c r="H837">
        <f t="shared" si="94"/>
        <v>1732</v>
      </c>
      <c r="I837">
        <f>VLOOKUP(G837,Table4[[SKU-COUNTRY2]:[Price in USD]],2,FALSE)</f>
        <v>101.6</v>
      </c>
      <c r="J837">
        <f>VLOOKUP(G837,Sheet3!$C$82:$I$100,MATCH(E837,Sheet3!C$82:H$82,0),FALSE) * VLOOKUP(C837,Table8[],2,0)</f>
        <v>176000</v>
      </c>
      <c r="K837">
        <f>ROUND(J837*VLOOKUP(F837,Sheet3!$A$106:$C$111,2,FALSE),0)</f>
        <v>54560</v>
      </c>
      <c r="L837">
        <f t="shared" si="91"/>
        <v>121440</v>
      </c>
      <c r="M837">
        <f t="shared" si="92"/>
        <v>69</v>
      </c>
      <c r="N837" t="str">
        <f t="shared" si="95"/>
        <v>No</v>
      </c>
      <c r="O837">
        <f t="shared" si="96"/>
        <v>0</v>
      </c>
      <c r="P837" t="str">
        <f t="shared" si="97"/>
        <v>None</v>
      </c>
      <c r="Q837" t="s">
        <v>124</v>
      </c>
    </row>
    <row r="838" spans="1:17" x14ac:dyDescent="0.3">
      <c r="A838">
        <v>837</v>
      </c>
      <c r="B838" t="s">
        <v>26</v>
      </c>
      <c r="C838" s="1">
        <v>45992</v>
      </c>
      <c r="D838" t="s">
        <v>27</v>
      </c>
      <c r="E838" t="s">
        <v>34</v>
      </c>
      <c r="F838" s="2" t="s">
        <v>37</v>
      </c>
      <c r="G838" t="str">
        <f t="shared" si="93"/>
        <v>Oudgasm Tobacco Oud 04-UK</v>
      </c>
      <c r="H838">
        <f t="shared" si="94"/>
        <v>953</v>
      </c>
      <c r="I838">
        <f>VLOOKUP(G838,Table4[[SKU-COUNTRY2]:[Price in USD]],2,FALSE)</f>
        <v>151.13</v>
      </c>
      <c r="J838">
        <f>VLOOKUP(G838,Sheet3!$C$82:$I$100,MATCH(E838,Sheet3!C$82:H$82,0),FALSE) * VLOOKUP(C838,Table8[],2,0)</f>
        <v>144000</v>
      </c>
      <c r="K838">
        <f>ROUND(J838*VLOOKUP(F838,Sheet3!$A$106:$C$111,2,FALSE),0)</f>
        <v>50400</v>
      </c>
      <c r="L838">
        <f t="shared" si="91"/>
        <v>93600</v>
      </c>
      <c r="M838">
        <f t="shared" si="92"/>
        <v>65</v>
      </c>
      <c r="N838" t="str">
        <f t="shared" si="95"/>
        <v>No</v>
      </c>
      <c r="O838">
        <f t="shared" si="96"/>
        <v>0</v>
      </c>
      <c r="P838" t="str">
        <f t="shared" si="97"/>
        <v>None</v>
      </c>
      <c r="Q838" t="s">
        <v>124</v>
      </c>
    </row>
    <row r="839" spans="1:17" x14ac:dyDescent="0.3">
      <c r="A839">
        <v>838</v>
      </c>
      <c r="B839" t="s">
        <v>26</v>
      </c>
      <c r="C839" s="1">
        <v>45992</v>
      </c>
      <c r="D839" t="s">
        <v>27</v>
      </c>
      <c r="E839" t="s">
        <v>34</v>
      </c>
      <c r="F839" s="2" t="s">
        <v>38</v>
      </c>
      <c r="G839" t="str">
        <f t="shared" si="93"/>
        <v>Yum Pistachio Gelato 33-UK</v>
      </c>
      <c r="H839">
        <f t="shared" si="94"/>
        <v>1024</v>
      </c>
      <c r="I839">
        <f>VLOOKUP(G839,Table4[[SKU-COUNTRY2]:[Price in USD]],2,FALSE)</f>
        <v>101.6</v>
      </c>
      <c r="J839">
        <f>VLOOKUP(G839,Sheet3!$C$82:$I$100,MATCH(E839,Sheet3!C$82:H$82,0),FALSE) * VLOOKUP(C839,Table8[],2,0)</f>
        <v>104000</v>
      </c>
      <c r="K839">
        <f>ROUND(J839*VLOOKUP(F839,Sheet3!$A$106:$C$111,2,FALSE),0)</f>
        <v>32240</v>
      </c>
      <c r="L839">
        <f t="shared" si="91"/>
        <v>71760</v>
      </c>
      <c r="M839">
        <f t="shared" si="92"/>
        <v>69</v>
      </c>
      <c r="N839" t="str">
        <f t="shared" si="95"/>
        <v>No</v>
      </c>
      <c r="O839">
        <f t="shared" si="96"/>
        <v>0</v>
      </c>
      <c r="P839" t="str">
        <f t="shared" si="97"/>
        <v>None</v>
      </c>
      <c r="Q839" t="s">
        <v>124</v>
      </c>
    </row>
    <row r="840" spans="1:17" x14ac:dyDescent="0.3">
      <c r="A840">
        <v>839</v>
      </c>
      <c r="B840" t="s">
        <v>26</v>
      </c>
      <c r="C840" s="1">
        <v>45992</v>
      </c>
      <c r="D840" t="s">
        <v>27</v>
      </c>
      <c r="E840" t="s">
        <v>34</v>
      </c>
      <c r="F840" s="2" t="s">
        <v>39</v>
      </c>
      <c r="G840" t="str">
        <f t="shared" si="93"/>
        <v>Freedom Musk Santal 34-UK</v>
      </c>
      <c r="H840">
        <f t="shared" si="94"/>
        <v>787</v>
      </c>
      <c r="I840">
        <f>VLOOKUP(G840,Table4[[SKU-COUNTRY2]:[Price in USD]],2,FALSE)</f>
        <v>101.6</v>
      </c>
      <c r="J840">
        <f>VLOOKUP(G840,Sheet3!$C$82:$I$100,MATCH(E840,Sheet3!C$82:H$82,0),FALSE) * VLOOKUP(C840,Table8[],2,0)</f>
        <v>80000</v>
      </c>
      <c r="K840">
        <f>ROUND(J840*VLOOKUP(F840,Sheet3!$A$106:$C$111,2,FALSE),0)</f>
        <v>25600</v>
      </c>
      <c r="L840">
        <f t="shared" si="91"/>
        <v>54400</v>
      </c>
      <c r="M840">
        <f t="shared" si="92"/>
        <v>68</v>
      </c>
      <c r="N840" t="str">
        <f t="shared" si="95"/>
        <v>No</v>
      </c>
      <c r="O840">
        <f t="shared" si="96"/>
        <v>0</v>
      </c>
      <c r="P840" t="str">
        <f t="shared" si="97"/>
        <v>None</v>
      </c>
      <c r="Q840" t="s">
        <v>124</v>
      </c>
    </row>
    <row r="841" spans="1:17" x14ac:dyDescent="0.3">
      <c r="A841">
        <v>840</v>
      </c>
      <c r="B841" t="s">
        <v>26</v>
      </c>
      <c r="C841" s="1">
        <v>45992</v>
      </c>
      <c r="D841" t="s">
        <v>27</v>
      </c>
      <c r="E841" t="s">
        <v>34</v>
      </c>
      <c r="F841" s="2" t="s">
        <v>40</v>
      </c>
      <c r="G841" t="str">
        <f t="shared" si="93"/>
        <v>Musk 12-UK</v>
      </c>
      <c r="H841">
        <f t="shared" si="94"/>
        <v>551</v>
      </c>
      <c r="I841">
        <f>VLOOKUP(G841,Table4[[SKU-COUNTRY2]:[Price in USD]],2,FALSE)</f>
        <v>101.6</v>
      </c>
      <c r="J841">
        <f>VLOOKUP(G841,Sheet3!$C$82:$I$100,MATCH(E841,Sheet3!C$82:H$82,0),FALSE) * VLOOKUP(C841,Table8[],2,0)</f>
        <v>56000</v>
      </c>
      <c r="K841">
        <f>ROUND(J841*VLOOKUP(F841,Sheet3!$A$106:$C$111,2,FALSE),0)</f>
        <v>16800</v>
      </c>
      <c r="L841">
        <f t="shared" si="91"/>
        <v>39200</v>
      </c>
      <c r="M841">
        <f t="shared" si="92"/>
        <v>70</v>
      </c>
      <c r="N841" t="str">
        <f t="shared" si="95"/>
        <v>No</v>
      </c>
      <c r="O841">
        <f t="shared" si="96"/>
        <v>0</v>
      </c>
      <c r="P841" t="str">
        <f t="shared" si="97"/>
        <v>None</v>
      </c>
      <c r="Q841" t="s">
        <v>124</v>
      </c>
    </row>
    <row r="842" spans="1:17" x14ac:dyDescent="0.3">
      <c r="A842">
        <v>841</v>
      </c>
      <c r="B842" t="s">
        <v>26</v>
      </c>
      <c r="C842" s="1">
        <v>45992</v>
      </c>
      <c r="D842" t="s">
        <v>29</v>
      </c>
      <c r="E842" t="s">
        <v>32</v>
      </c>
      <c r="F842" s="2" t="s">
        <v>35</v>
      </c>
      <c r="G842" t="str">
        <f t="shared" si="93"/>
        <v>Vanilla 28-UAE</v>
      </c>
      <c r="H842">
        <f t="shared" si="94"/>
        <v>3175</v>
      </c>
      <c r="I842">
        <f>VLOOKUP(G842,Table4[[SKU-COUNTRY2]:[Price in USD]],2,FALSE)</f>
        <v>113.4</v>
      </c>
      <c r="J842">
        <f>VLOOKUP(G842,Sheet3!$C$82:$I$100,MATCH(E842,Sheet3!C$82:H$82,0),FALSE) * VLOOKUP(C842,Table8[],2,0)</f>
        <v>360000</v>
      </c>
      <c r="K842">
        <f>ROUND(J842*VLOOKUP(F842,Sheet3!$A$106:$C$111,2,FALSE),0)</f>
        <v>108000</v>
      </c>
      <c r="L842">
        <f t="shared" si="91"/>
        <v>252000</v>
      </c>
      <c r="M842">
        <f t="shared" si="92"/>
        <v>70</v>
      </c>
      <c r="N842" t="str">
        <f t="shared" si="95"/>
        <v>No</v>
      </c>
      <c r="O842">
        <f t="shared" si="96"/>
        <v>0</v>
      </c>
      <c r="P842" t="str">
        <f t="shared" si="97"/>
        <v>None</v>
      </c>
      <c r="Q842" t="s">
        <v>124</v>
      </c>
    </row>
    <row r="843" spans="1:17" x14ac:dyDescent="0.3">
      <c r="A843">
        <v>842</v>
      </c>
      <c r="B843" t="s">
        <v>26</v>
      </c>
      <c r="C843" s="1">
        <v>45992</v>
      </c>
      <c r="D843" t="s">
        <v>29</v>
      </c>
      <c r="E843" t="s">
        <v>32</v>
      </c>
      <c r="F843" s="2" t="s">
        <v>36</v>
      </c>
      <c r="G843" t="str">
        <f t="shared" si="93"/>
        <v>Eden Juicy Apple 01-UAE</v>
      </c>
      <c r="H843">
        <f t="shared" si="94"/>
        <v>2381</v>
      </c>
      <c r="I843">
        <f>VLOOKUP(G843,Table4[[SKU-COUNTRY2]:[Price in USD]],2,FALSE)</f>
        <v>113.4</v>
      </c>
      <c r="J843">
        <f>VLOOKUP(G843,Sheet3!$C$82:$I$100,MATCH(E843,Sheet3!C$82:H$82,0),FALSE) * VLOOKUP(C843,Table8[],2,0)</f>
        <v>270000</v>
      </c>
      <c r="K843">
        <f>ROUND(J843*VLOOKUP(F843,Sheet3!$A$106:$C$111,2,FALSE),0)</f>
        <v>83700</v>
      </c>
      <c r="L843">
        <f t="shared" si="91"/>
        <v>186300</v>
      </c>
      <c r="M843">
        <f t="shared" si="92"/>
        <v>69</v>
      </c>
      <c r="N843" t="str">
        <f t="shared" si="95"/>
        <v>No</v>
      </c>
      <c r="O843">
        <f t="shared" si="96"/>
        <v>0</v>
      </c>
      <c r="P843" t="str">
        <f t="shared" si="97"/>
        <v>None</v>
      </c>
      <c r="Q843" t="s">
        <v>124</v>
      </c>
    </row>
    <row r="844" spans="1:17" x14ac:dyDescent="0.3">
      <c r="A844">
        <v>843</v>
      </c>
      <c r="B844" t="s">
        <v>26</v>
      </c>
      <c r="C844" s="1">
        <v>45992</v>
      </c>
      <c r="D844" t="s">
        <v>29</v>
      </c>
      <c r="E844" t="s">
        <v>32</v>
      </c>
      <c r="F844" s="2" t="s">
        <v>37</v>
      </c>
      <c r="G844" t="str">
        <f t="shared" si="93"/>
        <v>Oudgasm Tobacco Oud 04-UAE</v>
      </c>
      <c r="H844">
        <f t="shared" si="94"/>
        <v>4235</v>
      </c>
      <c r="I844">
        <f>VLOOKUP(G844,Table4[[SKU-COUNTRY2]:[Price in USD]],2,FALSE)</f>
        <v>148.77000000000001</v>
      </c>
      <c r="J844">
        <f>VLOOKUP(G844,Sheet3!$C$82:$I$100,MATCH(E844,Sheet3!C$82:H$82,0),FALSE) * VLOOKUP(C844,Table8[],2,0)</f>
        <v>630000</v>
      </c>
      <c r="K844">
        <f>ROUND(J844*VLOOKUP(F844,Sheet3!$A$106:$C$111,2,FALSE),0)</f>
        <v>220500</v>
      </c>
      <c r="L844">
        <f t="shared" si="91"/>
        <v>409500</v>
      </c>
      <c r="M844">
        <f t="shared" si="92"/>
        <v>65</v>
      </c>
      <c r="N844" t="str">
        <f t="shared" si="95"/>
        <v>No</v>
      </c>
      <c r="O844">
        <f t="shared" si="96"/>
        <v>0</v>
      </c>
      <c r="P844" t="str">
        <f t="shared" si="97"/>
        <v>None</v>
      </c>
      <c r="Q844" t="s">
        <v>124</v>
      </c>
    </row>
    <row r="845" spans="1:17" x14ac:dyDescent="0.3">
      <c r="A845">
        <v>844</v>
      </c>
      <c r="B845" t="s">
        <v>26</v>
      </c>
      <c r="C845" s="1">
        <v>45992</v>
      </c>
      <c r="D845" t="s">
        <v>29</v>
      </c>
      <c r="E845" t="s">
        <v>32</v>
      </c>
      <c r="F845" s="2" t="s">
        <v>38</v>
      </c>
      <c r="G845" t="str">
        <f t="shared" si="93"/>
        <v>Yum Pistachio Gelato 33-UAE</v>
      </c>
      <c r="H845">
        <f t="shared" si="94"/>
        <v>1905</v>
      </c>
      <c r="I845">
        <f>VLOOKUP(G845,Table4[[SKU-COUNTRY2]:[Price in USD]],2,FALSE)</f>
        <v>113.4</v>
      </c>
      <c r="J845">
        <f>VLOOKUP(G845,Sheet3!$C$82:$I$100,MATCH(E845,Sheet3!C$82:H$82,0),FALSE) * VLOOKUP(C845,Table8[],2,0)</f>
        <v>216000</v>
      </c>
      <c r="K845">
        <f>ROUND(J845*VLOOKUP(F845,Sheet3!$A$106:$C$111,2,FALSE),0)</f>
        <v>66960</v>
      </c>
      <c r="L845">
        <f t="shared" si="91"/>
        <v>149040</v>
      </c>
      <c r="M845">
        <f t="shared" si="92"/>
        <v>69</v>
      </c>
      <c r="N845" t="str">
        <f t="shared" si="95"/>
        <v>No</v>
      </c>
      <c r="O845">
        <f t="shared" si="96"/>
        <v>0</v>
      </c>
      <c r="P845" t="str">
        <f t="shared" si="97"/>
        <v>None</v>
      </c>
      <c r="Q845" t="s">
        <v>124</v>
      </c>
    </row>
    <row r="846" spans="1:17" x14ac:dyDescent="0.3">
      <c r="A846">
        <v>845</v>
      </c>
      <c r="B846" t="s">
        <v>26</v>
      </c>
      <c r="C846" s="1">
        <v>45992</v>
      </c>
      <c r="D846" t="s">
        <v>29</v>
      </c>
      <c r="E846" t="s">
        <v>32</v>
      </c>
      <c r="F846" s="2" t="s">
        <v>39</v>
      </c>
      <c r="G846" t="str">
        <f t="shared" si="93"/>
        <v>Freedom Musk Santal 34-UAE</v>
      </c>
      <c r="H846">
        <f t="shared" si="94"/>
        <v>1587</v>
      </c>
      <c r="I846">
        <f>VLOOKUP(G846,Table4[[SKU-COUNTRY2]:[Price in USD]],2,FALSE)</f>
        <v>113.4</v>
      </c>
      <c r="J846">
        <f>VLOOKUP(G846,Sheet3!$C$82:$I$100,MATCH(E846,Sheet3!C$82:H$82,0),FALSE) * VLOOKUP(C846,Table8[],2,0)</f>
        <v>180000</v>
      </c>
      <c r="K846">
        <f>ROUND(J846*VLOOKUP(F846,Sheet3!$A$106:$C$111,2,FALSE),0)</f>
        <v>57600</v>
      </c>
      <c r="L846">
        <f t="shared" si="91"/>
        <v>122400</v>
      </c>
      <c r="M846">
        <f t="shared" si="92"/>
        <v>68</v>
      </c>
      <c r="N846" t="str">
        <f t="shared" si="95"/>
        <v>No</v>
      </c>
      <c r="O846">
        <f t="shared" si="96"/>
        <v>0</v>
      </c>
      <c r="P846" t="str">
        <f t="shared" si="97"/>
        <v>None</v>
      </c>
      <c r="Q846" t="s">
        <v>124</v>
      </c>
    </row>
    <row r="847" spans="1:17" x14ac:dyDescent="0.3">
      <c r="A847">
        <v>846</v>
      </c>
      <c r="B847" t="s">
        <v>26</v>
      </c>
      <c r="C847" s="1">
        <v>45992</v>
      </c>
      <c r="D847" t="s">
        <v>29</v>
      </c>
      <c r="E847" t="s">
        <v>32</v>
      </c>
      <c r="F847" s="2" t="s">
        <v>40</v>
      </c>
      <c r="G847" t="str">
        <f t="shared" si="93"/>
        <v>Musk 12-UAE</v>
      </c>
      <c r="H847">
        <f t="shared" si="94"/>
        <v>1270</v>
      </c>
      <c r="I847">
        <f>VLOOKUP(G847,Table4[[SKU-COUNTRY2]:[Price in USD]],2,FALSE)</f>
        <v>113.4</v>
      </c>
      <c r="J847">
        <f>VLOOKUP(G847,Sheet3!$C$82:$I$100,MATCH(E847,Sheet3!C$82:H$82,0),FALSE) * VLOOKUP(C847,Table8[],2,0)</f>
        <v>144000</v>
      </c>
      <c r="K847">
        <f>ROUND(J847*VLOOKUP(F847,Sheet3!$A$106:$C$111,2,FALSE),0)</f>
        <v>43200</v>
      </c>
      <c r="L847">
        <f t="shared" si="91"/>
        <v>100800</v>
      </c>
      <c r="M847">
        <f t="shared" si="92"/>
        <v>70</v>
      </c>
      <c r="N847" t="str">
        <f t="shared" si="95"/>
        <v>No</v>
      </c>
      <c r="O847">
        <f t="shared" si="96"/>
        <v>0</v>
      </c>
      <c r="P847" t="str">
        <f t="shared" si="97"/>
        <v>None</v>
      </c>
      <c r="Q847" t="s">
        <v>124</v>
      </c>
    </row>
    <row r="848" spans="1:17" x14ac:dyDescent="0.3">
      <c r="A848">
        <v>847</v>
      </c>
      <c r="B848" t="s">
        <v>26</v>
      </c>
      <c r="C848" s="1">
        <v>45992</v>
      </c>
      <c r="D848" t="s">
        <v>29</v>
      </c>
      <c r="E848" t="s">
        <v>31</v>
      </c>
      <c r="F848" s="2" t="s">
        <v>35</v>
      </c>
      <c r="G848" t="str">
        <f t="shared" si="93"/>
        <v>Vanilla 28-UAE</v>
      </c>
      <c r="H848">
        <f t="shared" si="94"/>
        <v>1764</v>
      </c>
      <c r="I848">
        <f>VLOOKUP(G848,Table4[[SKU-COUNTRY2]:[Price in USD]],2,FALSE)</f>
        <v>113.4</v>
      </c>
      <c r="J848">
        <f>VLOOKUP(G848,Sheet3!$C$82:$I$100,MATCH(E848,Sheet3!C$82:H$82,0),FALSE) * VLOOKUP(C848,Table8[],2,0)</f>
        <v>200000</v>
      </c>
      <c r="K848">
        <f>ROUND(J848*VLOOKUP(F848,Sheet3!$A$106:$C$111,2,FALSE),0)</f>
        <v>60000</v>
      </c>
      <c r="L848">
        <f t="shared" si="91"/>
        <v>140000</v>
      </c>
      <c r="M848">
        <f t="shared" si="92"/>
        <v>70</v>
      </c>
      <c r="N848" t="str">
        <f t="shared" si="95"/>
        <v>No</v>
      </c>
      <c r="O848">
        <f t="shared" si="96"/>
        <v>0</v>
      </c>
      <c r="P848" t="str">
        <f t="shared" si="97"/>
        <v>None</v>
      </c>
      <c r="Q848" t="s">
        <v>124</v>
      </c>
    </row>
    <row r="849" spans="1:17" x14ac:dyDescent="0.3">
      <c r="A849">
        <v>848</v>
      </c>
      <c r="B849" t="s">
        <v>26</v>
      </c>
      <c r="C849" s="1">
        <v>45992</v>
      </c>
      <c r="D849" t="s">
        <v>29</v>
      </c>
      <c r="E849" t="s">
        <v>31</v>
      </c>
      <c r="F849" s="2" t="s">
        <v>36</v>
      </c>
      <c r="G849" t="str">
        <f t="shared" si="93"/>
        <v>Eden Juicy Apple 01-UAE</v>
      </c>
      <c r="H849">
        <f t="shared" si="94"/>
        <v>1323</v>
      </c>
      <c r="I849">
        <f>VLOOKUP(G849,Table4[[SKU-COUNTRY2]:[Price in USD]],2,FALSE)</f>
        <v>113.4</v>
      </c>
      <c r="J849">
        <f>VLOOKUP(G849,Sheet3!$C$82:$I$100,MATCH(E849,Sheet3!C$82:H$82,0),FALSE) * VLOOKUP(C849,Table8[],2,0)</f>
        <v>150000</v>
      </c>
      <c r="K849">
        <f>ROUND(J849*VLOOKUP(F849,Sheet3!$A$106:$C$111,2,FALSE),0)</f>
        <v>46500</v>
      </c>
      <c r="L849">
        <f t="shared" si="91"/>
        <v>103500</v>
      </c>
      <c r="M849">
        <f t="shared" si="92"/>
        <v>69</v>
      </c>
      <c r="N849" t="str">
        <f t="shared" si="95"/>
        <v>No</v>
      </c>
      <c r="O849">
        <f t="shared" si="96"/>
        <v>0</v>
      </c>
      <c r="P849" t="str">
        <f t="shared" si="97"/>
        <v>None</v>
      </c>
      <c r="Q849" t="s">
        <v>124</v>
      </c>
    </row>
    <row r="850" spans="1:17" x14ac:dyDescent="0.3">
      <c r="A850">
        <v>849</v>
      </c>
      <c r="B850" t="s">
        <v>26</v>
      </c>
      <c r="C850" s="1">
        <v>45992</v>
      </c>
      <c r="D850" t="s">
        <v>29</v>
      </c>
      <c r="E850" t="s">
        <v>31</v>
      </c>
      <c r="F850" s="2" t="s">
        <v>37</v>
      </c>
      <c r="G850" t="str">
        <f t="shared" si="93"/>
        <v>Oudgasm Tobacco Oud 04-UAE</v>
      </c>
      <c r="H850">
        <f t="shared" si="94"/>
        <v>2353</v>
      </c>
      <c r="I850">
        <f>VLOOKUP(G850,Table4[[SKU-COUNTRY2]:[Price in USD]],2,FALSE)</f>
        <v>148.77000000000001</v>
      </c>
      <c r="J850">
        <f>VLOOKUP(G850,Sheet3!$C$82:$I$100,MATCH(E850,Sheet3!C$82:H$82,0),FALSE) * VLOOKUP(C850,Table8[],2,0)</f>
        <v>350000</v>
      </c>
      <c r="K850">
        <f>ROUND(J850*VLOOKUP(F850,Sheet3!$A$106:$C$111,2,FALSE),0)</f>
        <v>122500</v>
      </c>
      <c r="L850">
        <f t="shared" si="91"/>
        <v>227500</v>
      </c>
      <c r="M850">
        <f t="shared" si="92"/>
        <v>65</v>
      </c>
      <c r="N850" t="str">
        <f t="shared" si="95"/>
        <v>No</v>
      </c>
      <c r="O850">
        <f t="shared" si="96"/>
        <v>0</v>
      </c>
      <c r="P850" t="str">
        <f t="shared" si="97"/>
        <v>None</v>
      </c>
      <c r="Q850" t="s">
        <v>124</v>
      </c>
    </row>
    <row r="851" spans="1:17" x14ac:dyDescent="0.3">
      <c r="A851">
        <v>850</v>
      </c>
      <c r="B851" t="s">
        <v>26</v>
      </c>
      <c r="C851" s="1">
        <v>45992</v>
      </c>
      <c r="D851" t="s">
        <v>29</v>
      </c>
      <c r="E851" t="s">
        <v>31</v>
      </c>
      <c r="F851" s="2" t="s">
        <v>38</v>
      </c>
      <c r="G851" t="str">
        <f t="shared" si="93"/>
        <v>Yum Pistachio Gelato 33-UAE</v>
      </c>
      <c r="H851">
        <f t="shared" si="94"/>
        <v>1058</v>
      </c>
      <c r="I851">
        <f>VLOOKUP(G851,Table4[[SKU-COUNTRY2]:[Price in USD]],2,FALSE)</f>
        <v>113.4</v>
      </c>
      <c r="J851">
        <f>VLOOKUP(G851,Sheet3!$C$82:$I$100,MATCH(E851,Sheet3!C$82:H$82,0),FALSE) * VLOOKUP(C851,Table8[],2,0)</f>
        <v>120000</v>
      </c>
      <c r="K851">
        <f>ROUND(J851*VLOOKUP(F851,Sheet3!$A$106:$C$111,2,FALSE),0)</f>
        <v>37200</v>
      </c>
      <c r="L851">
        <f t="shared" si="91"/>
        <v>82800</v>
      </c>
      <c r="M851">
        <f t="shared" si="92"/>
        <v>69</v>
      </c>
      <c r="N851" t="str">
        <f t="shared" si="95"/>
        <v>No</v>
      </c>
      <c r="O851">
        <f t="shared" si="96"/>
        <v>0</v>
      </c>
      <c r="P851" t="str">
        <f t="shared" si="97"/>
        <v>None</v>
      </c>
      <c r="Q851" t="s">
        <v>124</v>
      </c>
    </row>
    <row r="852" spans="1:17" x14ac:dyDescent="0.3">
      <c r="A852">
        <v>851</v>
      </c>
      <c r="B852" t="s">
        <v>26</v>
      </c>
      <c r="C852" s="1">
        <v>45992</v>
      </c>
      <c r="D852" t="s">
        <v>29</v>
      </c>
      <c r="E852" t="s">
        <v>31</v>
      </c>
      <c r="F852" s="2" t="s">
        <v>39</v>
      </c>
      <c r="G852" t="str">
        <f t="shared" si="93"/>
        <v>Freedom Musk Santal 34-UAE</v>
      </c>
      <c r="H852">
        <f t="shared" si="94"/>
        <v>882</v>
      </c>
      <c r="I852">
        <f>VLOOKUP(G852,Table4[[SKU-COUNTRY2]:[Price in USD]],2,FALSE)</f>
        <v>113.4</v>
      </c>
      <c r="J852">
        <f>VLOOKUP(G852,Sheet3!$C$82:$I$100,MATCH(E852,Sheet3!C$82:H$82,0),FALSE) * VLOOKUP(C852,Table8[],2,0)</f>
        <v>100000</v>
      </c>
      <c r="K852">
        <f>ROUND(J852*VLOOKUP(F852,Sheet3!$A$106:$C$111,2,FALSE),0)</f>
        <v>32000</v>
      </c>
      <c r="L852">
        <f t="shared" si="91"/>
        <v>68000</v>
      </c>
      <c r="M852">
        <f t="shared" si="92"/>
        <v>68</v>
      </c>
      <c r="N852" t="str">
        <f t="shared" si="95"/>
        <v>No</v>
      </c>
      <c r="O852">
        <f t="shared" si="96"/>
        <v>0</v>
      </c>
      <c r="P852" t="str">
        <f t="shared" si="97"/>
        <v>None</v>
      </c>
      <c r="Q852" t="s">
        <v>124</v>
      </c>
    </row>
    <row r="853" spans="1:17" x14ac:dyDescent="0.3">
      <c r="A853">
        <v>852</v>
      </c>
      <c r="B853" t="s">
        <v>26</v>
      </c>
      <c r="C853" s="1">
        <v>45992</v>
      </c>
      <c r="D853" t="s">
        <v>29</v>
      </c>
      <c r="E853" t="s">
        <v>31</v>
      </c>
      <c r="F853" s="2" t="s">
        <v>40</v>
      </c>
      <c r="G853" t="str">
        <f t="shared" si="93"/>
        <v>Musk 12-UAE</v>
      </c>
      <c r="H853">
        <f t="shared" si="94"/>
        <v>705</v>
      </c>
      <c r="I853">
        <f>VLOOKUP(G853,Table4[[SKU-COUNTRY2]:[Price in USD]],2,FALSE)</f>
        <v>113.4</v>
      </c>
      <c r="J853">
        <f>VLOOKUP(G853,Sheet3!$C$82:$I$100,MATCH(E853,Sheet3!C$82:H$82,0),FALSE) * VLOOKUP(C853,Table8[],2,0)</f>
        <v>80000</v>
      </c>
      <c r="K853">
        <f>ROUND(J853*VLOOKUP(F853,Sheet3!$A$106:$C$111,2,FALSE),0)</f>
        <v>24000</v>
      </c>
      <c r="L853">
        <f t="shared" si="91"/>
        <v>56000</v>
      </c>
      <c r="M853">
        <f t="shared" si="92"/>
        <v>70</v>
      </c>
      <c r="N853" t="str">
        <f t="shared" si="95"/>
        <v>No</v>
      </c>
      <c r="O853">
        <f t="shared" si="96"/>
        <v>0</v>
      </c>
      <c r="P853" t="str">
        <f t="shared" si="97"/>
        <v>None</v>
      </c>
      <c r="Q853" t="s">
        <v>124</v>
      </c>
    </row>
    <row r="854" spans="1:17" x14ac:dyDescent="0.3">
      <c r="A854">
        <v>853</v>
      </c>
      <c r="B854" t="s">
        <v>26</v>
      </c>
      <c r="C854" s="1">
        <v>45992</v>
      </c>
      <c r="D854" t="s">
        <v>29</v>
      </c>
      <c r="E854" t="s">
        <v>33</v>
      </c>
      <c r="F854" s="2" t="s">
        <v>35</v>
      </c>
      <c r="G854" t="str">
        <f t="shared" si="93"/>
        <v>Vanilla 28-UAE</v>
      </c>
      <c r="H854">
        <f t="shared" si="94"/>
        <v>1411</v>
      </c>
      <c r="I854">
        <f>VLOOKUP(G854,Table4[[SKU-COUNTRY2]:[Price in USD]],2,FALSE)</f>
        <v>113.4</v>
      </c>
      <c r="J854">
        <f>VLOOKUP(G854,Sheet3!$C$82:$I$100,MATCH(E854,Sheet3!C$82:H$82,0),FALSE) * VLOOKUP(C854,Table8[],2,0)</f>
        <v>160000</v>
      </c>
      <c r="K854">
        <f>ROUND(J854*VLOOKUP(F854,Sheet3!$A$106:$C$111,2,FALSE),0)</f>
        <v>48000</v>
      </c>
      <c r="L854">
        <f t="shared" si="91"/>
        <v>112000</v>
      </c>
      <c r="M854">
        <f t="shared" si="92"/>
        <v>70</v>
      </c>
      <c r="N854" t="str">
        <f t="shared" si="95"/>
        <v>No</v>
      </c>
      <c r="O854">
        <f t="shared" si="96"/>
        <v>0</v>
      </c>
      <c r="P854" t="str">
        <f t="shared" si="97"/>
        <v>None</v>
      </c>
      <c r="Q854" t="s">
        <v>124</v>
      </c>
    </row>
    <row r="855" spans="1:17" x14ac:dyDescent="0.3">
      <c r="A855">
        <v>854</v>
      </c>
      <c r="B855" t="s">
        <v>26</v>
      </c>
      <c r="C855" s="1">
        <v>45992</v>
      </c>
      <c r="D855" t="s">
        <v>29</v>
      </c>
      <c r="E855" t="s">
        <v>33</v>
      </c>
      <c r="F855" s="2" t="s">
        <v>36</v>
      </c>
      <c r="G855" t="str">
        <f t="shared" si="93"/>
        <v>Eden Juicy Apple 01-UAE</v>
      </c>
      <c r="H855">
        <f t="shared" si="94"/>
        <v>1058</v>
      </c>
      <c r="I855">
        <f>VLOOKUP(G855,Table4[[SKU-COUNTRY2]:[Price in USD]],2,FALSE)</f>
        <v>113.4</v>
      </c>
      <c r="J855">
        <f>VLOOKUP(G855,Sheet3!$C$82:$I$100,MATCH(E855,Sheet3!C$82:H$82,0),FALSE) * VLOOKUP(C855,Table8[],2,0)</f>
        <v>120000</v>
      </c>
      <c r="K855">
        <f>ROUND(J855*VLOOKUP(F855,Sheet3!$A$106:$C$111,2,FALSE),0)</f>
        <v>37200</v>
      </c>
      <c r="L855">
        <f t="shared" si="91"/>
        <v>82800</v>
      </c>
      <c r="M855">
        <f t="shared" si="92"/>
        <v>69</v>
      </c>
      <c r="N855" t="str">
        <f t="shared" si="95"/>
        <v>No</v>
      </c>
      <c r="O855">
        <f t="shared" si="96"/>
        <v>0</v>
      </c>
      <c r="P855" t="str">
        <f t="shared" si="97"/>
        <v>None</v>
      </c>
      <c r="Q855" t="s">
        <v>124</v>
      </c>
    </row>
    <row r="856" spans="1:17" x14ac:dyDescent="0.3">
      <c r="A856">
        <v>855</v>
      </c>
      <c r="B856" t="s">
        <v>26</v>
      </c>
      <c r="C856" s="1">
        <v>45992</v>
      </c>
      <c r="D856" t="s">
        <v>29</v>
      </c>
      <c r="E856" t="s">
        <v>33</v>
      </c>
      <c r="F856" s="2" t="s">
        <v>37</v>
      </c>
      <c r="G856" t="str">
        <f t="shared" si="93"/>
        <v>Oudgasm Tobacco Oud 04-UAE</v>
      </c>
      <c r="H856">
        <f t="shared" si="94"/>
        <v>1882</v>
      </c>
      <c r="I856">
        <f>VLOOKUP(G856,Table4[[SKU-COUNTRY2]:[Price in USD]],2,FALSE)</f>
        <v>148.77000000000001</v>
      </c>
      <c r="J856">
        <f>VLOOKUP(G856,Sheet3!$C$82:$I$100,MATCH(E856,Sheet3!C$82:H$82,0),FALSE) * VLOOKUP(C856,Table8[],2,0)</f>
        <v>280000</v>
      </c>
      <c r="K856">
        <f>ROUND(J856*VLOOKUP(F856,Sheet3!$A$106:$C$111,2,FALSE),0)</f>
        <v>98000</v>
      </c>
      <c r="L856">
        <f t="shared" si="91"/>
        <v>182000</v>
      </c>
      <c r="M856">
        <f t="shared" si="92"/>
        <v>65</v>
      </c>
      <c r="N856" t="str">
        <f t="shared" si="95"/>
        <v>No</v>
      </c>
      <c r="O856">
        <f t="shared" si="96"/>
        <v>0</v>
      </c>
      <c r="P856" t="str">
        <f t="shared" si="97"/>
        <v>None</v>
      </c>
      <c r="Q856" t="s">
        <v>124</v>
      </c>
    </row>
    <row r="857" spans="1:17" x14ac:dyDescent="0.3">
      <c r="A857">
        <v>856</v>
      </c>
      <c r="B857" t="s">
        <v>26</v>
      </c>
      <c r="C857" s="1">
        <v>45992</v>
      </c>
      <c r="D857" t="s">
        <v>29</v>
      </c>
      <c r="E857" t="s">
        <v>33</v>
      </c>
      <c r="F857" s="2" t="s">
        <v>38</v>
      </c>
      <c r="G857" t="str">
        <f t="shared" si="93"/>
        <v>Yum Pistachio Gelato 33-UAE</v>
      </c>
      <c r="H857">
        <f t="shared" si="94"/>
        <v>847</v>
      </c>
      <c r="I857">
        <f>VLOOKUP(G857,Table4[[SKU-COUNTRY2]:[Price in USD]],2,FALSE)</f>
        <v>113.4</v>
      </c>
      <c r="J857">
        <f>VLOOKUP(G857,Sheet3!$C$82:$I$100,MATCH(E857,Sheet3!C$82:H$82,0),FALSE) * VLOOKUP(C857,Table8[],2,0)</f>
        <v>96000</v>
      </c>
      <c r="K857">
        <f>ROUND(J857*VLOOKUP(F857,Sheet3!$A$106:$C$111,2,FALSE),0)</f>
        <v>29760</v>
      </c>
      <c r="L857">
        <f t="shared" si="91"/>
        <v>66240</v>
      </c>
      <c r="M857">
        <f t="shared" si="92"/>
        <v>69</v>
      </c>
      <c r="N857" t="str">
        <f t="shared" si="95"/>
        <v>No</v>
      </c>
      <c r="O857">
        <f t="shared" si="96"/>
        <v>0</v>
      </c>
      <c r="P857" t="str">
        <f t="shared" si="97"/>
        <v>None</v>
      </c>
      <c r="Q857" t="s">
        <v>124</v>
      </c>
    </row>
    <row r="858" spans="1:17" x14ac:dyDescent="0.3">
      <c r="A858">
        <v>857</v>
      </c>
      <c r="B858" t="s">
        <v>26</v>
      </c>
      <c r="C858" s="1">
        <v>45992</v>
      </c>
      <c r="D858" t="s">
        <v>29</v>
      </c>
      <c r="E858" t="s">
        <v>33</v>
      </c>
      <c r="F858" s="2" t="s">
        <v>39</v>
      </c>
      <c r="G858" t="str">
        <f t="shared" si="93"/>
        <v>Freedom Musk Santal 34-UAE</v>
      </c>
      <c r="H858">
        <f t="shared" si="94"/>
        <v>705</v>
      </c>
      <c r="I858">
        <f>VLOOKUP(G858,Table4[[SKU-COUNTRY2]:[Price in USD]],2,FALSE)</f>
        <v>113.4</v>
      </c>
      <c r="J858">
        <f>VLOOKUP(G858,Sheet3!$C$82:$I$100,MATCH(E858,Sheet3!C$82:H$82,0),FALSE) * VLOOKUP(C858,Table8[],2,0)</f>
        <v>80000</v>
      </c>
      <c r="K858">
        <f>ROUND(J858*VLOOKUP(F858,Sheet3!$A$106:$C$111,2,FALSE),0)</f>
        <v>25600</v>
      </c>
      <c r="L858">
        <f t="shared" si="91"/>
        <v>54400</v>
      </c>
      <c r="M858">
        <f t="shared" si="92"/>
        <v>68</v>
      </c>
      <c r="N858" t="str">
        <f t="shared" si="95"/>
        <v>No</v>
      </c>
      <c r="O858">
        <f t="shared" si="96"/>
        <v>0</v>
      </c>
      <c r="P858" t="str">
        <f t="shared" si="97"/>
        <v>None</v>
      </c>
      <c r="Q858" t="s">
        <v>124</v>
      </c>
    </row>
    <row r="859" spans="1:17" x14ac:dyDescent="0.3">
      <c r="A859">
        <v>858</v>
      </c>
      <c r="B859" t="s">
        <v>26</v>
      </c>
      <c r="C859" s="1">
        <v>45992</v>
      </c>
      <c r="D859" t="s">
        <v>29</v>
      </c>
      <c r="E859" t="s">
        <v>33</v>
      </c>
      <c r="F859" s="2" t="s">
        <v>40</v>
      </c>
      <c r="G859" t="str">
        <f t="shared" si="93"/>
        <v>Musk 12-UAE</v>
      </c>
      <c r="H859">
        <f t="shared" si="94"/>
        <v>564</v>
      </c>
      <c r="I859">
        <f>VLOOKUP(G859,Table4[[SKU-COUNTRY2]:[Price in USD]],2,FALSE)</f>
        <v>113.4</v>
      </c>
      <c r="J859">
        <f>VLOOKUP(G859,Sheet3!$C$82:$I$100,MATCH(E859,Sheet3!C$82:H$82,0),FALSE) * VLOOKUP(C859,Table8[],2,0)</f>
        <v>64000</v>
      </c>
      <c r="K859">
        <f>ROUND(J859*VLOOKUP(F859,Sheet3!$A$106:$C$111,2,FALSE),0)</f>
        <v>19200</v>
      </c>
      <c r="L859">
        <f t="shared" si="91"/>
        <v>44800</v>
      </c>
      <c r="M859">
        <f t="shared" si="92"/>
        <v>70</v>
      </c>
      <c r="N859" t="str">
        <f t="shared" si="95"/>
        <v>No</v>
      </c>
      <c r="O859">
        <f t="shared" si="96"/>
        <v>0</v>
      </c>
      <c r="P859" t="str">
        <f t="shared" si="97"/>
        <v>None</v>
      </c>
      <c r="Q859" t="s">
        <v>124</v>
      </c>
    </row>
    <row r="860" spans="1:17" x14ac:dyDescent="0.3">
      <c r="A860">
        <v>859</v>
      </c>
      <c r="B860" t="s">
        <v>26</v>
      </c>
      <c r="C860" s="1">
        <v>45992</v>
      </c>
      <c r="D860" t="s">
        <v>29</v>
      </c>
      <c r="E860" t="s">
        <v>34</v>
      </c>
      <c r="F860" s="2" t="s">
        <v>35</v>
      </c>
      <c r="G860" t="str">
        <f t="shared" si="93"/>
        <v>Vanilla 28-UAE</v>
      </c>
      <c r="H860">
        <f t="shared" si="94"/>
        <v>705</v>
      </c>
      <c r="I860">
        <f>VLOOKUP(G860,Table4[[SKU-COUNTRY2]:[Price in USD]],2,FALSE)</f>
        <v>113.4</v>
      </c>
      <c r="J860">
        <f>VLOOKUP(G860,Sheet3!$C$82:$I$100,MATCH(E860,Sheet3!C$82:H$82,0),FALSE) * VLOOKUP(C860,Table8[],2,0)</f>
        <v>80000</v>
      </c>
      <c r="K860">
        <f>ROUND(J860*VLOOKUP(F860,Sheet3!$A$106:$C$111,2,FALSE),0)</f>
        <v>24000</v>
      </c>
      <c r="L860">
        <f t="shared" si="91"/>
        <v>56000</v>
      </c>
      <c r="M860">
        <f t="shared" si="92"/>
        <v>70</v>
      </c>
      <c r="N860" t="str">
        <f t="shared" si="95"/>
        <v>No</v>
      </c>
      <c r="O860">
        <f t="shared" si="96"/>
        <v>0</v>
      </c>
      <c r="P860" t="str">
        <f t="shared" si="97"/>
        <v>None</v>
      </c>
      <c r="Q860" t="s">
        <v>124</v>
      </c>
    </row>
    <row r="861" spans="1:17" x14ac:dyDescent="0.3">
      <c r="A861">
        <v>860</v>
      </c>
      <c r="B861" t="s">
        <v>26</v>
      </c>
      <c r="C861" s="1">
        <v>45992</v>
      </c>
      <c r="D861" t="s">
        <v>29</v>
      </c>
      <c r="E861" t="s">
        <v>34</v>
      </c>
      <c r="F861" s="2" t="s">
        <v>36</v>
      </c>
      <c r="G861" t="str">
        <f t="shared" si="93"/>
        <v>Eden Juicy Apple 01-UAE</v>
      </c>
      <c r="H861">
        <f t="shared" si="94"/>
        <v>529</v>
      </c>
      <c r="I861">
        <f>VLOOKUP(G861,Table4[[SKU-COUNTRY2]:[Price in USD]],2,FALSE)</f>
        <v>113.4</v>
      </c>
      <c r="J861">
        <f>VLOOKUP(G861,Sheet3!$C$82:$I$100,MATCH(E861,Sheet3!C$82:H$82,0),FALSE) * VLOOKUP(C861,Table8[],2,0)</f>
        <v>60000</v>
      </c>
      <c r="K861">
        <f>ROUND(J861*VLOOKUP(F861,Sheet3!$A$106:$C$111,2,FALSE),0)</f>
        <v>18600</v>
      </c>
      <c r="L861">
        <f t="shared" si="91"/>
        <v>41400</v>
      </c>
      <c r="M861">
        <f t="shared" si="92"/>
        <v>69</v>
      </c>
      <c r="N861" t="str">
        <f t="shared" si="95"/>
        <v>No</v>
      </c>
      <c r="O861">
        <f t="shared" si="96"/>
        <v>0</v>
      </c>
      <c r="P861" t="str">
        <f t="shared" si="97"/>
        <v>None</v>
      </c>
      <c r="Q861" t="s">
        <v>124</v>
      </c>
    </row>
    <row r="862" spans="1:17" x14ac:dyDescent="0.3">
      <c r="A862">
        <v>861</v>
      </c>
      <c r="B862" t="s">
        <v>26</v>
      </c>
      <c r="C862" s="1">
        <v>45992</v>
      </c>
      <c r="D862" t="s">
        <v>29</v>
      </c>
      <c r="E862" t="s">
        <v>34</v>
      </c>
      <c r="F862" s="2" t="s">
        <v>37</v>
      </c>
      <c r="G862" t="str">
        <f t="shared" si="93"/>
        <v>Oudgasm Tobacco Oud 04-UAE</v>
      </c>
      <c r="H862">
        <f t="shared" si="94"/>
        <v>941</v>
      </c>
      <c r="I862">
        <f>VLOOKUP(G862,Table4[[SKU-COUNTRY2]:[Price in USD]],2,FALSE)</f>
        <v>148.77000000000001</v>
      </c>
      <c r="J862">
        <f>VLOOKUP(G862,Sheet3!$C$82:$I$100,MATCH(E862,Sheet3!C$82:H$82,0),FALSE) * VLOOKUP(C862,Table8[],2,0)</f>
        <v>140000</v>
      </c>
      <c r="K862">
        <f>ROUND(J862*VLOOKUP(F862,Sheet3!$A$106:$C$111,2,FALSE),0)</f>
        <v>49000</v>
      </c>
      <c r="L862">
        <f t="shared" si="91"/>
        <v>91000</v>
      </c>
      <c r="M862">
        <f t="shared" si="92"/>
        <v>65</v>
      </c>
      <c r="N862" t="str">
        <f t="shared" si="95"/>
        <v>No</v>
      </c>
      <c r="O862">
        <f t="shared" si="96"/>
        <v>0</v>
      </c>
      <c r="P862" t="str">
        <f t="shared" si="97"/>
        <v>None</v>
      </c>
      <c r="Q862" t="s">
        <v>124</v>
      </c>
    </row>
    <row r="863" spans="1:17" x14ac:dyDescent="0.3">
      <c r="A863">
        <v>862</v>
      </c>
      <c r="B863" t="s">
        <v>26</v>
      </c>
      <c r="C863" s="1">
        <v>45992</v>
      </c>
      <c r="D863" t="s">
        <v>29</v>
      </c>
      <c r="E863" t="s">
        <v>34</v>
      </c>
      <c r="F863" s="2" t="s">
        <v>38</v>
      </c>
      <c r="G863" t="str">
        <f t="shared" si="93"/>
        <v>Yum Pistachio Gelato 33-UAE</v>
      </c>
      <c r="H863">
        <f t="shared" si="94"/>
        <v>423</v>
      </c>
      <c r="I863">
        <f>VLOOKUP(G863,Table4[[SKU-COUNTRY2]:[Price in USD]],2,FALSE)</f>
        <v>113.4</v>
      </c>
      <c r="J863">
        <f>VLOOKUP(G863,Sheet3!$C$82:$I$100,MATCH(E863,Sheet3!C$82:H$82,0),FALSE) * VLOOKUP(C863,Table8[],2,0)</f>
        <v>48000</v>
      </c>
      <c r="K863">
        <f>ROUND(J863*VLOOKUP(F863,Sheet3!$A$106:$C$111,2,FALSE),0)</f>
        <v>14880</v>
      </c>
      <c r="L863">
        <f t="shared" si="91"/>
        <v>33120</v>
      </c>
      <c r="M863">
        <f t="shared" si="92"/>
        <v>69</v>
      </c>
      <c r="N863" t="str">
        <f t="shared" si="95"/>
        <v>No</v>
      </c>
      <c r="O863">
        <f t="shared" si="96"/>
        <v>0</v>
      </c>
      <c r="P863" t="str">
        <f t="shared" si="97"/>
        <v>None</v>
      </c>
      <c r="Q863" t="s">
        <v>124</v>
      </c>
    </row>
    <row r="864" spans="1:17" x14ac:dyDescent="0.3">
      <c r="A864">
        <v>863</v>
      </c>
      <c r="B864" t="s">
        <v>26</v>
      </c>
      <c r="C864" s="1">
        <v>45992</v>
      </c>
      <c r="D864" t="s">
        <v>29</v>
      </c>
      <c r="E864" t="s">
        <v>34</v>
      </c>
      <c r="F864" s="2" t="s">
        <v>39</v>
      </c>
      <c r="G864" t="str">
        <f t="shared" si="93"/>
        <v>Freedom Musk Santal 34-UAE</v>
      </c>
      <c r="H864">
        <f t="shared" si="94"/>
        <v>353</v>
      </c>
      <c r="I864">
        <f>VLOOKUP(G864,Table4[[SKU-COUNTRY2]:[Price in USD]],2,FALSE)</f>
        <v>113.4</v>
      </c>
      <c r="J864">
        <f>VLOOKUP(G864,Sheet3!$C$82:$I$100,MATCH(E864,Sheet3!C$82:H$82,0),FALSE) * VLOOKUP(C864,Table8[],2,0)</f>
        <v>40000</v>
      </c>
      <c r="K864">
        <f>ROUND(J864*VLOOKUP(F864,Sheet3!$A$106:$C$111,2,FALSE),0)</f>
        <v>12800</v>
      </c>
      <c r="L864">
        <f t="shared" si="91"/>
        <v>27200</v>
      </c>
      <c r="M864">
        <f t="shared" si="92"/>
        <v>68</v>
      </c>
      <c r="N864" t="str">
        <f t="shared" si="95"/>
        <v>No</v>
      </c>
      <c r="O864">
        <f t="shared" si="96"/>
        <v>0</v>
      </c>
      <c r="P864" t="str">
        <f t="shared" si="97"/>
        <v>None</v>
      </c>
      <c r="Q864" t="s">
        <v>124</v>
      </c>
    </row>
    <row r="865" spans="1:17" x14ac:dyDescent="0.3">
      <c r="A865">
        <v>864</v>
      </c>
      <c r="B865" t="s">
        <v>26</v>
      </c>
      <c r="C865" s="1">
        <v>45992</v>
      </c>
      <c r="D865" t="s">
        <v>29</v>
      </c>
      <c r="E865" t="s">
        <v>34</v>
      </c>
      <c r="F865" s="2" t="s">
        <v>40</v>
      </c>
      <c r="G865" t="str">
        <f t="shared" si="93"/>
        <v>Musk 12-UAE</v>
      </c>
      <c r="H865">
        <f t="shared" si="94"/>
        <v>282</v>
      </c>
      <c r="I865">
        <f>VLOOKUP(G865,Table4[[SKU-COUNTRY2]:[Price in USD]],2,FALSE)</f>
        <v>113.4</v>
      </c>
      <c r="J865">
        <f>VLOOKUP(G865,Sheet3!$C$82:$I$100,MATCH(E865,Sheet3!C$82:H$82,0),FALSE) * VLOOKUP(C865,Table8[],2,0)</f>
        <v>32000</v>
      </c>
      <c r="K865">
        <f>ROUND(J865*VLOOKUP(F865,Sheet3!$A$106:$C$111,2,FALSE),0)</f>
        <v>9600</v>
      </c>
      <c r="L865">
        <f t="shared" si="91"/>
        <v>22400</v>
      </c>
      <c r="M865">
        <f t="shared" si="92"/>
        <v>70</v>
      </c>
      <c r="N865" t="str">
        <f t="shared" si="95"/>
        <v>No</v>
      </c>
      <c r="O865">
        <f t="shared" si="96"/>
        <v>0</v>
      </c>
      <c r="P865" t="str">
        <f t="shared" si="97"/>
        <v>None</v>
      </c>
      <c r="Q865" t="s">
        <v>124</v>
      </c>
    </row>
  </sheetData>
  <autoFilter ref="A1:Q865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4166-7761-459E-BF84-6007876B0B38}">
  <dimension ref="A1:U123"/>
  <sheetViews>
    <sheetView tabSelected="1" topLeftCell="A88" workbookViewId="0">
      <selection activeCell="E108" sqref="E108"/>
    </sheetView>
  </sheetViews>
  <sheetFormatPr defaultRowHeight="14.4" x14ac:dyDescent="0.3"/>
  <cols>
    <col min="1" max="1" width="25.21875" customWidth="1"/>
    <col min="2" max="2" width="15.6640625" customWidth="1"/>
    <col min="3" max="3" width="19.77734375" bestFit="1" customWidth="1"/>
    <col min="4" max="4" width="19.88671875" bestFit="1" customWidth="1"/>
    <col min="5" max="5" width="21" bestFit="1" customWidth="1"/>
    <col min="6" max="6" width="13.109375" customWidth="1"/>
    <col min="7" max="7" width="18.33203125" customWidth="1"/>
    <col min="8" max="8" width="26.77734375" bestFit="1" customWidth="1"/>
    <col min="9" max="9" width="13.33203125" bestFit="1" customWidth="1"/>
    <col min="10" max="10" width="27.109375" bestFit="1" customWidth="1"/>
    <col min="11" max="11" width="23.33203125" bestFit="1" customWidth="1"/>
    <col min="12" max="12" width="30.44140625" bestFit="1" customWidth="1"/>
    <col min="13" max="13" width="28.6640625" bestFit="1" customWidth="1"/>
  </cols>
  <sheetData>
    <row r="1" spans="1:21" x14ac:dyDescent="0.3">
      <c r="A1" t="s">
        <v>73</v>
      </c>
      <c r="B1" t="s">
        <v>72</v>
      </c>
      <c r="C1" t="s">
        <v>32</v>
      </c>
      <c r="D1" t="s">
        <v>31</v>
      </c>
      <c r="E1" t="s">
        <v>33</v>
      </c>
      <c r="F1" t="s">
        <v>34</v>
      </c>
      <c r="G1" t="s">
        <v>75</v>
      </c>
    </row>
    <row r="2" spans="1:21" x14ac:dyDescent="0.3">
      <c r="A2" t="s">
        <v>68</v>
      </c>
      <c r="B2" t="s">
        <v>28</v>
      </c>
      <c r="C2" s="5">
        <v>0.55000000000000004</v>
      </c>
      <c r="D2" s="5">
        <v>0.25</v>
      </c>
      <c r="E2" s="5">
        <v>0.12</v>
      </c>
      <c r="F2" s="5">
        <v>0.08</v>
      </c>
      <c r="G2" s="16">
        <v>14000000</v>
      </c>
    </row>
    <row r="3" spans="1:21" x14ac:dyDescent="0.3">
      <c r="A3" t="s">
        <v>69</v>
      </c>
      <c r="B3" t="s">
        <v>27</v>
      </c>
      <c r="C3" s="5">
        <v>0.4</v>
      </c>
      <c r="D3" s="5">
        <v>0.2</v>
      </c>
      <c r="E3" s="5">
        <v>0.15</v>
      </c>
      <c r="F3" s="5">
        <v>0.25</v>
      </c>
      <c r="G3" s="16">
        <v>2000000</v>
      </c>
    </row>
    <row r="4" spans="1:21" ht="29.4" thickBot="1" x14ac:dyDescent="0.35">
      <c r="A4" t="s">
        <v>70</v>
      </c>
      <c r="B4" t="s">
        <v>29</v>
      </c>
      <c r="C4" s="5">
        <v>0.45</v>
      </c>
      <c r="D4" s="5">
        <v>0.25</v>
      </c>
      <c r="E4" s="5">
        <v>0.2</v>
      </c>
      <c r="F4" s="5">
        <v>0.1</v>
      </c>
      <c r="G4" s="16">
        <v>2500000</v>
      </c>
      <c r="S4" s="3" t="s">
        <v>5</v>
      </c>
      <c r="T4" s="3" t="s">
        <v>7</v>
      </c>
      <c r="U4" s="12" t="s">
        <v>68</v>
      </c>
    </row>
    <row r="5" spans="1:21" x14ac:dyDescent="0.3">
      <c r="A5" s="4"/>
      <c r="B5" s="4"/>
      <c r="C5" s="4"/>
      <c r="S5" s="4" t="s">
        <v>35</v>
      </c>
      <c r="T5" s="4"/>
      <c r="U5" s="13">
        <v>0.35</v>
      </c>
    </row>
    <row r="6" spans="1:21" ht="43.2" x14ac:dyDescent="0.3">
      <c r="A6" s="4"/>
      <c r="B6" s="4"/>
      <c r="C6" s="4"/>
      <c r="S6" s="4" t="s">
        <v>36</v>
      </c>
      <c r="T6" s="4"/>
      <c r="U6" s="14">
        <v>0.2</v>
      </c>
    </row>
    <row r="7" spans="1:21" ht="43.2" x14ac:dyDescent="0.3">
      <c r="A7" s="4" t="s">
        <v>74</v>
      </c>
      <c r="B7" s="15" t="s">
        <v>32</v>
      </c>
      <c r="C7" s="15" t="s">
        <v>31</v>
      </c>
      <c r="D7" s="15" t="s">
        <v>33</v>
      </c>
      <c r="E7" s="15" t="s">
        <v>34</v>
      </c>
      <c r="S7" s="4" t="s">
        <v>44</v>
      </c>
      <c r="T7" s="4"/>
      <c r="U7" s="13">
        <v>0.18</v>
      </c>
    </row>
    <row r="8" spans="1:21" ht="43.2" x14ac:dyDescent="0.3">
      <c r="A8" s="4" t="s">
        <v>28</v>
      </c>
      <c r="B8" s="4">
        <f t="shared" ref="B8:E9" si="0">$G2*C2</f>
        <v>7700000.0000000009</v>
      </c>
      <c r="C8" s="4">
        <f t="shared" si="0"/>
        <v>3500000</v>
      </c>
      <c r="D8" s="4">
        <f t="shared" si="0"/>
        <v>1680000</v>
      </c>
      <c r="E8" s="4">
        <f t="shared" si="0"/>
        <v>1120000</v>
      </c>
      <c r="G8" s="4"/>
      <c r="S8" s="4" t="s">
        <v>38</v>
      </c>
      <c r="T8" s="4"/>
      <c r="U8" s="14">
        <v>0.12</v>
      </c>
    </row>
    <row r="9" spans="1:21" ht="43.2" x14ac:dyDescent="0.3">
      <c r="A9" s="4" t="s">
        <v>27</v>
      </c>
      <c r="B9" s="4">
        <f t="shared" si="0"/>
        <v>800000</v>
      </c>
      <c r="C9" s="4">
        <f t="shared" si="0"/>
        <v>400000</v>
      </c>
      <c r="D9" s="4">
        <f t="shared" si="0"/>
        <v>300000</v>
      </c>
      <c r="E9" s="4">
        <f t="shared" si="0"/>
        <v>500000</v>
      </c>
      <c r="S9" s="4" t="s">
        <v>39</v>
      </c>
      <c r="T9" s="4"/>
      <c r="U9" s="13">
        <v>0.1</v>
      </c>
    </row>
    <row r="10" spans="1:21" x14ac:dyDescent="0.3">
      <c r="A10" s="4" t="s">
        <v>29</v>
      </c>
      <c r="B10" s="4">
        <f>$G4*C4</f>
        <v>1125000</v>
      </c>
      <c r="C10" s="4">
        <f t="shared" ref="C10:E10" si="1">$G4*D4</f>
        <v>625000</v>
      </c>
      <c r="D10" s="4">
        <f t="shared" si="1"/>
        <v>500000</v>
      </c>
      <c r="E10" s="4">
        <f t="shared" si="1"/>
        <v>250000</v>
      </c>
      <c r="S10" s="4" t="s">
        <v>40</v>
      </c>
      <c r="T10" s="4"/>
      <c r="U10" s="14">
        <v>0.05</v>
      </c>
    </row>
    <row r="14" spans="1:21" x14ac:dyDescent="0.3">
      <c r="D14" t="s">
        <v>113</v>
      </c>
      <c r="E14" t="s">
        <v>113</v>
      </c>
      <c r="F14" t="s">
        <v>113</v>
      </c>
      <c r="G14" t="s">
        <v>113</v>
      </c>
    </row>
    <row r="15" spans="1:21" x14ac:dyDescent="0.3">
      <c r="A15" s="3"/>
      <c r="B15" s="3"/>
      <c r="C15" s="11"/>
      <c r="D15" s="11"/>
      <c r="E15" s="11"/>
    </row>
    <row r="16" spans="1:21" ht="15" thickBot="1" x14ac:dyDescent="0.35">
      <c r="A16" s="17" t="s">
        <v>5</v>
      </c>
      <c r="B16" s="15" t="s">
        <v>72</v>
      </c>
      <c r="C16" s="25" t="s">
        <v>84</v>
      </c>
      <c r="D16" s="15" t="s">
        <v>43</v>
      </c>
      <c r="E16" s="15" t="s">
        <v>32</v>
      </c>
      <c r="F16" s="15" t="s">
        <v>31</v>
      </c>
      <c r="G16" s="15" t="s">
        <v>33</v>
      </c>
      <c r="H16" s="15" t="s">
        <v>34</v>
      </c>
      <c r="I16" s="22" t="s">
        <v>117</v>
      </c>
      <c r="J16" s="22" t="s">
        <v>83</v>
      </c>
    </row>
    <row r="17" spans="1:10" x14ac:dyDescent="0.3">
      <c r="A17" s="18" t="s">
        <v>35</v>
      </c>
      <c r="B17" s="4" t="s">
        <v>28</v>
      </c>
      <c r="C17" s="4" t="s">
        <v>85</v>
      </c>
      <c r="D17" s="13">
        <v>0.35</v>
      </c>
      <c r="E17" s="4">
        <f>D$17*B8</f>
        <v>2695000</v>
      </c>
      <c r="F17" s="4">
        <f>$D$17*C8</f>
        <v>1225000</v>
      </c>
      <c r="G17" s="4">
        <f t="shared" ref="G17:H17" si="2">$D$17*D8</f>
        <v>588000</v>
      </c>
      <c r="H17" s="4">
        <f t="shared" si="2"/>
        <v>392000</v>
      </c>
      <c r="I17" t="str">
        <f>_xlfn.CONCAT(Table4[[#This Row],[SKU]],"-",Table4[[#This Row],[Country]])</f>
        <v>Vanilla 28-USA</v>
      </c>
      <c r="J17" s="21">
        <f>VLOOKUP(Table4[[#This Row],[SKU-COUNTRY2]],Table7[[SKU-COUNTRY]:[Final Price in USD]],3,FALSE)</f>
        <v>105</v>
      </c>
    </row>
    <row r="18" spans="1:10" x14ac:dyDescent="0.3">
      <c r="A18" s="18" t="s">
        <v>35</v>
      </c>
      <c r="B18" s="4" t="s">
        <v>27</v>
      </c>
      <c r="C18" s="4" t="s">
        <v>86</v>
      </c>
      <c r="D18" s="13">
        <v>0.3</v>
      </c>
      <c r="E18" s="4">
        <f>$D$18*B9</f>
        <v>240000</v>
      </c>
      <c r="F18" s="4">
        <f>$D$18*C9</f>
        <v>120000</v>
      </c>
      <c r="G18" s="4">
        <f>$D$18*D9</f>
        <v>90000</v>
      </c>
      <c r="H18" s="4">
        <f t="shared" ref="H18" si="3">$D$18*E9</f>
        <v>150000</v>
      </c>
      <c r="I18" t="str">
        <f>_xlfn.CONCAT(Table4[[#This Row],[SKU]],"-",Table4[[#This Row],[Country]])</f>
        <v>Vanilla 28-UK</v>
      </c>
      <c r="J18" s="21">
        <f>VLOOKUP(Table4[[#This Row],[SKU-COUNTRY2]],Table7[[SKU-COUNTRY]:[Final Price in USD]],3,FALSE)</f>
        <v>101.6</v>
      </c>
    </row>
    <row r="19" spans="1:10" x14ac:dyDescent="0.3">
      <c r="A19" s="18" t="s">
        <v>35</v>
      </c>
      <c r="B19" s="4" t="s">
        <v>29</v>
      </c>
      <c r="C19" s="4" t="s">
        <v>87</v>
      </c>
      <c r="D19" s="13">
        <v>0.2</v>
      </c>
      <c r="E19" s="4">
        <f>$D$19*B10</f>
        <v>225000</v>
      </c>
      <c r="F19" s="4">
        <f t="shared" ref="F19:H19" si="4">$D$19*C10</f>
        <v>125000</v>
      </c>
      <c r="G19" s="4">
        <f t="shared" si="4"/>
        <v>100000</v>
      </c>
      <c r="H19" s="4">
        <f t="shared" si="4"/>
        <v>50000</v>
      </c>
      <c r="I19" t="str">
        <f>_xlfn.CONCAT(Table4[[#This Row],[SKU]],"-",Table4[[#This Row],[Country]])</f>
        <v>Vanilla 28-UAE</v>
      </c>
      <c r="J19" s="21">
        <f>VLOOKUP(Table4[[#This Row],[SKU-COUNTRY2]],Table7[[SKU-COUNTRY]:[Final Price in USD]],3,FALSE)</f>
        <v>113.4</v>
      </c>
    </row>
    <row r="20" spans="1:10" ht="28.8" x14ac:dyDescent="0.3">
      <c r="A20" s="19" t="s">
        <v>36</v>
      </c>
      <c r="B20" s="4" t="s">
        <v>28</v>
      </c>
      <c r="C20" s="4" t="s">
        <v>88</v>
      </c>
      <c r="D20" s="14">
        <v>0.2</v>
      </c>
      <c r="E20" s="4">
        <f>$D$20*B8</f>
        <v>1540000.0000000002</v>
      </c>
      <c r="F20" s="4">
        <f t="shared" ref="F20:H20" si="5">$D$20*C8</f>
        <v>700000</v>
      </c>
      <c r="G20" s="4">
        <f t="shared" si="5"/>
        <v>336000</v>
      </c>
      <c r="H20" s="4">
        <f t="shared" si="5"/>
        <v>224000</v>
      </c>
      <c r="I20" t="str">
        <f>_xlfn.CONCAT(Table4[[#This Row],[SKU]],"-",Table4[[#This Row],[Country]])</f>
        <v>Eden Juicy Apple 01-USA</v>
      </c>
      <c r="J20" s="21">
        <f>VLOOKUP(Table4[[#This Row],[SKU-COUNTRY2]],Table7[[SKU-COUNTRY]:[Final Price in USD]],3,FALSE)</f>
        <v>105</v>
      </c>
    </row>
    <row r="21" spans="1:10" ht="28.8" x14ac:dyDescent="0.3">
      <c r="A21" s="19" t="s">
        <v>36</v>
      </c>
      <c r="B21" s="4" t="s">
        <v>27</v>
      </c>
      <c r="C21" s="4" t="s">
        <v>89</v>
      </c>
      <c r="D21" s="14">
        <v>0.22</v>
      </c>
      <c r="E21">
        <f>$D$21*B9</f>
        <v>176000</v>
      </c>
      <c r="F21">
        <f>$D$21*C9</f>
        <v>88000</v>
      </c>
      <c r="G21">
        <f>$D$21*D9</f>
        <v>66000</v>
      </c>
      <c r="H21">
        <f>$D$21*E9</f>
        <v>110000</v>
      </c>
      <c r="I21" t="str">
        <f>_xlfn.CONCAT(Table4[[#This Row],[SKU]],"-",Table4[[#This Row],[Country]])</f>
        <v>Eden Juicy Apple 01-UK</v>
      </c>
      <c r="J21" s="21">
        <f>VLOOKUP(Table4[[#This Row],[SKU-COUNTRY2]],Table7[[SKU-COUNTRY]:[Final Price in USD]],3,FALSE)</f>
        <v>101.6</v>
      </c>
    </row>
    <row r="22" spans="1:10" ht="28.8" x14ac:dyDescent="0.3">
      <c r="A22" s="19" t="s">
        <v>36</v>
      </c>
      <c r="B22" s="4" t="s">
        <v>29</v>
      </c>
      <c r="C22" s="4" t="s">
        <v>90</v>
      </c>
      <c r="D22" s="14">
        <v>0.15</v>
      </c>
      <c r="E22">
        <f>$D$22*B10</f>
        <v>168750</v>
      </c>
      <c r="F22">
        <f>$D$22*C10</f>
        <v>93750</v>
      </c>
      <c r="G22">
        <f t="shared" ref="G22" si="6">$D$22*D10</f>
        <v>75000</v>
      </c>
      <c r="H22">
        <f>$D$22*E10</f>
        <v>37500</v>
      </c>
      <c r="I22" t="str">
        <f>_xlfn.CONCAT(Table4[[#This Row],[SKU]],"-",Table4[[#This Row],[Country]])</f>
        <v>Eden Juicy Apple 01-UAE</v>
      </c>
      <c r="J22" s="21">
        <f>VLOOKUP(Table4[[#This Row],[SKU-COUNTRY2]],Table7[[SKU-COUNTRY]:[Final Price in USD]],3,FALSE)</f>
        <v>113.4</v>
      </c>
    </row>
    <row r="23" spans="1:10" ht="28.8" x14ac:dyDescent="0.3">
      <c r="A23" t="s">
        <v>37</v>
      </c>
      <c r="B23" s="4" t="s">
        <v>28</v>
      </c>
      <c r="C23" s="4" t="s">
        <v>114</v>
      </c>
      <c r="D23" s="13">
        <v>0.18</v>
      </c>
      <c r="E23">
        <f>$D$23*B8</f>
        <v>1386000</v>
      </c>
      <c r="F23">
        <f t="shared" ref="F23:H23" si="7">$D$23*C8</f>
        <v>630000</v>
      </c>
      <c r="G23">
        <f t="shared" si="7"/>
        <v>302400</v>
      </c>
      <c r="H23">
        <f t="shared" si="7"/>
        <v>201600</v>
      </c>
      <c r="I23" t="str">
        <f>_xlfn.CONCAT(Table4[[#This Row],[SKU]],"-",Table4[[#This Row],[Country]])</f>
        <v>Oudgasm Tobacco Oud 04-USA</v>
      </c>
      <c r="J23" s="21">
        <f>VLOOKUP(Table4[[#This Row],[SKU-COUNTRY2]],Table7[[SKU-COUNTRY]:[Final Price in USD]],3,FALSE)</f>
        <v>140</v>
      </c>
    </row>
    <row r="24" spans="1:10" ht="28.8" x14ac:dyDescent="0.3">
      <c r="A24" t="s">
        <v>37</v>
      </c>
      <c r="B24" s="4" t="s">
        <v>27</v>
      </c>
      <c r="C24" s="4" t="s">
        <v>115</v>
      </c>
      <c r="D24" s="13">
        <v>0.18</v>
      </c>
      <c r="E24">
        <f>$D$24*B9</f>
        <v>144000</v>
      </c>
      <c r="F24">
        <f t="shared" ref="F24:H24" si="8">$D$24*C9</f>
        <v>72000</v>
      </c>
      <c r="G24">
        <f t="shared" si="8"/>
        <v>54000</v>
      </c>
      <c r="H24">
        <f t="shared" si="8"/>
        <v>90000</v>
      </c>
      <c r="I24" t="str">
        <f>_xlfn.CONCAT(Table4[[#This Row],[SKU]],"-",Table4[[#This Row],[Country]])</f>
        <v>Oudgasm Tobacco Oud 04-UK</v>
      </c>
      <c r="J24" s="21">
        <f>VLOOKUP(Table4[[#This Row],[SKU-COUNTRY2]],Table7[[SKU-COUNTRY]:[Final Price in USD]],3,FALSE)</f>
        <v>151.13</v>
      </c>
    </row>
    <row r="25" spans="1:10" ht="28.8" x14ac:dyDescent="0.3">
      <c r="A25" t="s">
        <v>37</v>
      </c>
      <c r="B25" s="4" t="s">
        <v>29</v>
      </c>
      <c r="C25" s="4" t="s">
        <v>116</v>
      </c>
      <c r="D25" s="13">
        <v>0.35</v>
      </c>
      <c r="E25">
        <f>$D$25*B10</f>
        <v>393750</v>
      </c>
      <c r="F25">
        <f t="shared" ref="F25:H25" si="9">$D$25*C10</f>
        <v>218750</v>
      </c>
      <c r="G25">
        <f t="shared" si="9"/>
        <v>175000</v>
      </c>
      <c r="H25">
        <f t="shared" si="9"/>
        <v>87500</v>
      </c>
      <c r="I25" t="str">
        <f>_xlfn.CONCAT(Table4[[#This Row],[SKU]],"-",Table4[[#This Row],[Country]])</f>
        <v>Oudgasm Tobacco Oud 04-UAE</v>
      </c>
      <c r="J25" s="21">
        <f>VLOOKUP(Table4[[#This Row],[SKU-COUNTRY2]],Table7[[SKU-COUNTRY]:[Final Price in USD]],3,FALSE)</f>
        <v>148.77000000000001</v>
      </c>
    </row>
    <row r="26" spans="1:10" ht="28.8" x14ac:dyDescent="0.3">
      <c r="A26" s="19" t="s">
        <v>38</v>
      </c>
      <c r="B26" s="4" t="s">
        <v>28</v>
      </c>
      <c r="C26" s="4" t="s">
        <v>91</v>
      </c>
      <c r="D26" s="14">
        <v>0.12</v>
      </c>
      <c r="E26">
        <f>$D$26*B8</f>
        <v>924000.00000000012</v>
      </c>
      <c r="F26">
        <f t="shared" ref="F26:H26" si="10">$D$26*C8</f>
        <v>420000</v>
      </c>
      <c r="G26">
        <f t="shared" si="10"/>
        <v>201600</v>
      </c>
      <c r="H26">
        <f t="shared" si="10"/>
        <v>134400</v>
      </c>
      <c r="I26" t="str">
        <f>_xlfn.CONCAT(Table4[[#This Row],[SKU]],"-",Table4[[#This Row],[Country]])</f>
        <v>Yum Pistachio Gelato 33-USA</v>
      </c>
      <c r="J26" s="21">
        <f>VLOOKUP(Table4[[#This Row],[SKU-COUNTRY2]],Table7[[SKU-COUNTRY]:[Final Price in USD]],3,FALSE)</f>
        <v>105</v>
      </c>
    </row>
    <row r="27" spans="1:10" ht="28.8" x14ac:dyDescent="0.3">
      <c r="A27" s="19" t="s">
        <v>38</v>
      </c>
      <c r="B27" s="4" t="s">
        <v>27</v>
      </c>
      <c r="C27" s="4" t="s">
        <v>92</v>
      </c>
      <c r="D27" s="14">
        <v>0.13</v>
      </c>
      <c r="E27">
        <f>$D$27*B9</f>
        <v>104000</v>
      </c>
      <c r="F27">
        <f t="shared" ref="F27:H27" si="11">$D$27*C9</f>
        <v>52000</v>
      </c>
      <c r="G27">
        <f t="shared" si="11"/>
        <v>39000</v>
      </c>
      <c r="H27">
        <f t="shared" si="11"/>
        <v>65000</v>
      </c>
      <c r="I27" t="str">
        <f>_xlfn.CONCAT(Table4[[#This Row],[SKU]],"-",Table4[[#This Row],[Country]])</f>
        <v>Yum Pistachio Gelato 33-UK</v>
      </c>
      <c r="J27" s="21">
        <f>VLOOKUP(Table4[[#This Row],[SKU-COUNTRY2]],Table7[[SKU-COUNTRY]:[Final Price in USD]],3,FALSE)</f>
        <v>101.6</v>
      </c>
    </row>
    <row r="28" spans="1:10" ht="28.8" x14ac:dyDescent="0.3">
      <c r="A28" s="19" t="s">
        <v>38</v>
      </c>
      <c r="B28" s="4" t="s">
        <v>29</v>
      </c>
      <c r="C28" s="4" t="s">
        <v>93</v>
      </c>
      <c r="D28" s="14">
        <v>0.12</v>
      </c>
      <c r="E28">
        <f>$D$28*B10</f>
        <v>135000</v>
      </c>
      <c r="F28">
        <f t="shared" ref="F28:G28" si="12">$D$28*C10</f>
        <v>75000</v>
      </c>
      <c r="G28">
        <f t="shared" si="12"/>
        <v>60000</v>
      </c>
      <c r="H28">
        <f>$D$28*E10</f>
        <v>30000</v>
      </c>
      <c r="I28" t="str">
        <f>_xlfn.CONCAT(Table4[[#This Row],[SKU]],"-",Table4[[#This Row],[Country]])</f>
        <v>Yum Pistachio Gelato 33-UAE</v>
      </c>
      <c r="J28" s="21">
        <f>VLOOKUP(Table4[[#This Row],[SKU-COUNTRY2]],Table7[[SKU-COUNTRY]:[Final Price in USD]],3,FALSE)</f>
        <v>113.4</v>
      </c>
    </row>
    <row r="29" spans="1:10" ht="28.8" x14ac:dyDescent="0.3">
      <c r="A29" s="18" t="s">
        <v>39</v>
      </c>
      <c r="B29" s="4" t="s">
        <v>28</v>
      </c>
      <c r="C29" s="4" t="s">
        <v>94</v>
      </c>
      <c r="D29" s="13">
        <v>0.1</v>
      </c>
      <c r="E29">
        <f>$D$29*B8</f>
        <v>770000.00000000012</v>
      </c>
      <c r="F29">
        <f t="shared" ref="F29:H29" si="13">$D$29*C8</f>
        <v>350000</v>
      </c>
      <c r="G29">
        <f t="shared" si="13"/>
        <v>168000</v>
      </c>
      <c r="H29">
        <f t="shared" si="13"/>
        <v>112000</v>
      </c>
      <c r="I29" t="str">
        <f>_xlfn.CONCAT(Table4[[#This Row],[SKU]],"-",Table4[[#This Row],[Country]])</f>
        <v>Freedom Musk Santal 34-USA</v>
      </c>
      <c r="J29" s="21">
        <f>VLOOKUP(Table4[[#This Row],[SKU-COUNTRY2]],Table7[[SKU-COUNTRY]:[Final Price in USD]],3,FALSE)</f>
        <v>105</v>
      </c>
    </row>
    <row r="30" spans="1:10" ht="28.8" x14ac:dyDescent="0.3">
      <c r="A30" s="18" t="s">
        <v>39</v>
      </c>
      <c r="B30" s="4" t="s">
        <v>27</v>
      </c>
      <c r="C30" s="4" t="s">
        <v>95</v>
      </c>
      <c r="D30" s="13">
        <v>0.1</v>
      </c>
      <c r="E30">
        <f>$D$30*B9</f>
        <v>80000</v>
      </c>
      <c r="F30">
        <f t="shared" ref="F30:H30" si="14">$D$30*C9</f>
        <v>40000</v>
      </c>
      <c r="G30">
        <f t="shared" si="14"/>
        <v>30000</v>
      </c>
      <c r="H30">
        <f t="shared" si="14"/>
        <v>50000</v>
      </c>
      <c r="I30" t="str">
        <f>_xlfn.CONCAT(Table4[[#This Row],[SKU]],"-",Table4[[#This Row],[Country]])</f>
        <v>Freedom Musk Santal 34-UK</v>
      </c>
      <c r="J30" s="21">
        <f>VLOOKUP(Table4[[#This Row],[SKU-COUNTRY2]],Table7[[SKU-COUNTRY]:[Final Price in USD]],3,FALSE)</f>
        <v>101.6</v>
      </c>
    </row>
    <row r="31" spans="1:10" ht="28.8" x14ac:dyDescent="0.3">
      <c r="A31" s="18" t="s">
        <v>39</v>
      </c>
      <c r="B31" s="4" t="s">
        <v>29</v>
      </c>
      <c r="C31" s="4" t="s">
        <v>96</v>
      </c>
      <c r="D31" s="13">
        <v>0.1</v>
      </c>
      <c r="E31">
        <f>$D$31*B10</f>
        <v>112500</v>
      </c>
      <c r="F31">
        <f>$D$31*C10</f>
        <v>62500</v>
      </c>
      <c r="G31">
        <f>$D$31*D10</f>
        <v>50000</v>
      </c>
      <c r="H31">
        <f t="shared" ref="H31" si="15">$D$31*E10</f>
        <v>25000</v>
      </c>
      <c r="I31" t="str">
        <f>_xlfn.CONCAT(Table4[[#This Row],[SKU]],"-",Table4[[#This Row],[Country]])</f>
        <v>Freedom Musk Santal 34-UAE</v>
      </c>
      <c r="J31" s="21">
        <f>VLOOKUP(Table4[[#This Row],[SKU-COUNTRY2]],Table7[[SKU-COUNTRY]:[Final Price in USD]],3,FALSE)</f>
        <v>113.4</v>
      </c>
    </row>
    <row r="32" spans="1:10" x14ac:dyDescent="0.3">
      <c r="A32" s="19" t="s">
        <v>40</v>
      </c>
      <c r="B32" s="4" t="s">
        <v>28</v>
      </c>
      <c r="C32" s="4" t="s">
        <v>97</v>
      </c>
      <c r="D32" s="14">
        <v>0.05</v>
      </c>
      <c r="E32">
        <f>$D$32*B8</f>
        <v>385000.00000000006</v>
      </c>
      <c r="F32">
        <f t="shared" ref="F32:H32" si="16">$D$32*C8</f>
        <v>175000</v>
      </c>
      <c r="G32">
        <f t="shared" si="16"/>
        <v>84000</v>
      </c>
      <c r="H32">
        <f t="shared" si="16"/>
        <v>56000</v>
      </c>
      <c r="I32" t="str">
        <f>_xlfn.CONCAT(Table4[[#This Row],[SKU]],"-",Table4[[#This Row],[Country]])</f>
        <v>Musk 12-USA</v>
      </c>
      <c r="J32" s="21">
        <f>VLOOKUP(Table4[[#This Row],[SKU-COUNTRY2]],Table7[[SKU-COUNTRY]:[Final Price in USD]],3,FALSE)</f>
        <v>105</v>
      </c>
    </row>
    <row r="33" spans="1:10" x14ac:dyDescent="0.3">
      <c r="A33" s="19" t="s">
        <v>40</v>
      </c>
      <c r="B33" s="4" t="s">
        <v>27</v>
      </c>
      <c r="C33" s="4" t="s">
        <v>98</v>
      </c>
      <c r="D33" s="14">
        <v>7.0000000000000007E-2</v>
      </c>
      <c r="E33">
        <f>$D$33*B9</f>
        <v>56000.000000000007</v>
      </c>
      <c r="F33">
        <f t="shared" ref="F33:H33" si="17">$D$33*C9</f>
        <v>28000.000000000004</v>
      </c>
      <c r="G33">
        <f t="shared" si="17"/>
        <v>21000.000000000004</v>
      </c>
      <c r="H33">
        <f t="shared" si="17"/>
        <v>35000</v>
      </c>
      <c r="I33" t="str">
        <f>_xlfn.CONCAT(Table4[[#This Row],[SKU]],"-",Table4[[#This Row],[Country]])</f>
        <v>Musk 12-UK</v>
      </c>
      <c r="J33" s="21">
        <f>VLOOKUP(Table4[[#This Row],[SKU-COUNTRY2]],Table7[[SKU-COUNTRY]:[Final Price in USD]],3,FALSE)</f>
        <v>101.6</v>
      </c>
    </row>
    <row r="34" spans="1:10" x14ac:dyDescent="0.3">
      <c r="A34" s="19" t="s">
        <v>40</v>
      </c>
      <c r="B34" s="4" t="s">
        <v>29</v>
      </c>
      <c r="C34" s="4" t="s">
        <v>99</v>
      </c>
      <c r="D34" s="14">
        <v>0.08</v>
      </c>
      <c r="E34">
        <f>$D$34*B10</f>
        <v>90000</v>
      </c>
      <c r="F34">
        <f t="shared" ref="F34:H34" si="18">$D$34*C10</f>
        <v>50000</v>
      </c>
      <c r="G34">
        <f t="shared" si="18"/>
        <v>40000</v>
      </c>
      <c r="H34">
        <f t="shared" si="18"/>
        <v>20000</v>
      </c>
      <c r="I34" t="str">
        <f>_xlfn.CONCAT(Table4[[#This Row],[SKU]],"-",Table4[[#This Row],[Country]])</f>
        <v>Musk 12-UAE</v>
      </c>
      <c r="J34" s="21">
        <f>VLOOKUP(Table4[[#This Row],[SKU-COUNTRY2]],Table7[[SKU-COUNTRY]:[Final Price in USD]],3,FALSE)</f>
        <v>113.4</v>
      </c>
    </row>
    <row r="41" spans="1:10" x14ac:dyDescent="0.3">
      <c r="A41" t="s">
        <v>5</v>
      </c>
      <c r="B41" t="s">
        <v>72</v>
      </c>
      <c r="C41" t="s">
        <v>84</v>
      </c>
      <c r="D41" t="s">
        <v>81</v>
      </c>
      <c r="E41" t="s">
        <v>82</v>
      </c>
    </row>
    <row r="42" spans="1:10" x14ac:dyDescent="0.3">
      <c r="A42" s="4" t="s">
        <v>35</v>
      </c>
      <c r="B42" s="2" t="s">
        <v>28</v>
      </c>
      <c r="C42" s="2" t="str">
        <f>_xlfn.CONCAT(Table7[[#This Row],[SKU]],"-",Table7[[#This Row],[Country]])</f>
        <v>Vanilla 28-USA</v>
      </c>
      <c r="D42" s="2">
        <v>105</v>
      </c>
      <c r="E42" s="21">
        <f t="shared" ref="E42:E59" si="19">D42*IF(B42="USA",1,IF(B42="UK",1.27,0.27))</f>
        <v>105</v>
      </c>
    </row>
    <row r="43" spans="1:10" x14ac:dyDescent="0.3">
      <c r="A43" s="4" t="s">
        <v>36</v>
      </c>
      <c r="B43" s="2" t="s">
        <v>28</v>
      </c>
      <c r="C43" s="2" t="str">
        <f>_xlfn.CONCAT(Table7[[#This Row],[SKU]],"-",Table7[[#This Row],[Country]])</f>
        <v>Eden Juicy Apple 01-USA</v>
      </c>
      <c r="D43" s="2">
        <v>105</v>
      </c>
      <c r="E43" s="21">
        <f t="shared" si="19"/>
        <v>105</v>
      </c>
    </row>
    <row r="44" spans="1:10" x14ac:dyDescent="0.3">
      <c r="A44" t="s">
        <v>37</v>
      </c>
      <c r="B44" s="2" t="s">
        <v>28</v>
      </c>
      <c r="C44" s="2" t="str">
        <f>_xlfn.CONCAT(Table7[[#This Row],[SKU]],"-",Table7[[#This Row],[Country]])</f>
        <v>Oudgasm Tobacco Oud 04-USA</v>
      </c>
      <c r="D44" s="2">
        <v>140</v>
      </c>
      <c r="E44" s="21">
        <f t="shared" si="19"/>
        <v>140</v>
      </c>
    </row>
    <row r="45" spans="1:10" x14ac:dyDescent="0.3">
      <c r="A45" s="4" t="s">
        <v>38</v>
      </c>
      <c r="B45" s="2" t="s">
        <v>28</v>
      </c>
      <c r="C45" s="2" t="str">
        <f>_xlfn.CONCAT(Table7[[#This Row],[SKU]],"-",Table7[[#This Row],[Country]])</f>
        <v>Yum Pistachio Gelato 33-USA</v>
      </c>
      <c r="D45" s="2">
        <v>105</v>
      </c>
      <c r="E45" s="21">
        <f t="shared" si="19"/>
        <v>105</v>
      </c>
    </row>
    <row r="46" spans="1:10" x14ac:dyDescent="0.3">
      <c r="A46" s="4" t="s">
        <v>39</v>
      </c>
      <c r="B46" s="2" t="s">
        <v>28</v>
      </c>
      <c r="C46" s="2" t="str">
        <f>_xlfn.CONCAT(Table7[[#This Row],[SKU]],"-",Table7[[#This Row],[Country]])</f>
        <v>Freedom Musk Santal 34-USA</v>
      </c>
      <c r="D46" s="2">
        <v>105</v>
      </c>
      <c r="E46" s="21">
        <f t="shared" si="19"/>
        <v>105</v>
      </c>
    </row>
    <row r="47" spans="1:10" x14ac:dyDescent="0.3">
      <c r="A47" s="4" t="s">
        <v>40</v>
      </c>
      <c r="B47" s="2" t="s">
        <v>28</v>
      </c>
      <c r="C47" s="2" t="str">
        <f>_xlfn.CONCAT(Table7[[#This Row],[SKU]],"-",Table7[[#This Row],[Country]])</f>
        <v>Musk 12-USA</v>
      </c>
      <c r="D47" s="2">
        <v>105</v>
      </c>
      <c r="E47" s="21">
        <f t="shared" si="19"/>
        <v>105</v>
      </c>
    </row>
    <row r="48" spans="1:10" x14ac:dyDescent="0.3">
      <c r="A48" s="4" t="s">
        <v>35</v>
      </c>
      <c r="B48" t="s">
        <v>27</v>
      </c>
      <c r="C48" t="str">
        <f>_xlfn.CONCAT(Table7[[#This Row],[SKU]],"-",Table7[[#This Row],[Country]])</f>
        <v>Vanilla 28-UK</v>
      </c>
      <c r="D48" s="2">
        <v>80</v>
      </c>
      <c r="E48" s="21">
        <f t="shared" si="19"/>
        <v>101.6</v>
      </c>
    </row>
    <row r="49" spans="1:5" x14ac:dyDescent="0.3">
      <c r="A49" s="4" t="s">
        <v>36</v>
      </c>
      <c r="B49" t="s">
        <v>27</v>
      </c>
      <c r="C49" t="str">
        <f>_xlfn.CONCAT(Table7[[#This Row],[SKU]],"-",Table7[[#This Row],[Country]])</f>
        <v>Eden Juicy Apple 01-UK</v>
      </c>
      <c r="D49" s="2">
        <v>80</v>
      </c>
      <c r="E49" s="21">
        <f t="shared" si="19"/>
        <v>101.6</v>
      </c>
    </row>
    <row r="50" spans="1:5" x14ac:dyDescent="0.3">
      <c r="A50" t="s">
        <v>37</v>
      </c>
      <c r="B50" t="s">
        <v>27</v>
      </c>
      <c r="C50" t="str">
        <f>_xlfn.CONCAT(Table7[[#This Row],[SKU]],"-",Table7[[#This Row],[Country]])</f>
        <v>Oudgasm Tobacco Oud 04-UK</v>
      </c>
      <c r="D50" s="2">
        <v>119</v>
      </c>
      <c r="E50" s="21">
        <f t="shared" si="19"/>
        <v>151.13</v>
      </c>
    </row>
    <row r="51" spans="1:5" x14ac:dyDescent="0.3">
      <c r="A51" s="4" t="s">
        <v>38</v>
      </c>
      <c r="B51" t="s">
        <v>27</v>
      </c>
      <c r="C51" t="str">
        <f>_xlfn.CONCAT(Table7[[#This Row],[SKU]],"-",Table7[[#This Row],[Country]])</f>
        <v>Yum Pistachio Gelato 33-UK</v>
      </c>
      <c r="D51" s="2">
        <v>80</v>
      </c>
      <c r="E51" s="21">
        <f t="shared" si="19"/>
        <v>101.6</v>
      </c>
    </row>
    <row r="52" spans="1:5" x14ac:dyDescent="0.3">
      <c r="A52" s="4" t="s">
        <v>39</v>
      </c>
      <c r="B52" t="s">
        <v>27</v>
      </c>
      <c r="C52" t="str">
        <f>_xlfn.CONCAT(Table7[[#This Row],[SKU]],"-",Table7[[#This Row],[Country]])</f>
        <v>Freedom Musk Santal 34-UK</v>
      </c>
      <c r="D52" s="2">
        <v>80</v>
      </c>
      <c r="E52" s="21">
        <f t="shared" si="19"/>
        <v>101.6</v>
      </c>
    </row>
    <row r="53" spans="1:5" x14ac:dyDescent="0.3">
      <c r="A53" s="4" t="s">
        <v>40</v>
      </c>
      <c r="B53" t="s">
        <v>27</v>
      </c>
      <c r="C53" t="str">
        <f>_xlfn.CONCAT(Table7[[#This Row],[SKU]],"-",Table7[[#This Row],[Country]])</f>
        <v>Musk 12-UK</v>
      </c>
      <c r="D53" s="2">
        <v>80</v>
      </c>
      <c r="E53" s="21">
        <f t="shared" si="19"/>
        <v>101.6</v>
      </c>
    </row>
    <row r="54" spans="1:5" x14ac:dyDescent="0.3">
      <c r="A54" s="4" t="s">
        <v>35</v>
      </c>
      <c r="B54" t="s">
        <v>29</v>
      </c>
      <c r="C54" t="str">
        <f>_xlfn.CONCAT(Table7[[#This Row],[SKU]],"-",Table7[[#This Row],[Country]])</f>
        <v>Vanilla 28-UAE</v>
      </c>
      <c r="D54" s="2">
        <v>420</v>
      </c>
      <c r="E54" s="21">
        <f t="shared" si="19"/>
        <v>113.4</v>
      </c>
    </row>
    <row r="55" spans="1:5" x14ac:dyDescent="0.3">
      <c r="A55" s="4" t="s">
        <v>36</v>
      </c>
      <c r="B55" t="s">
        <v>29</v>
      </c>
      <c r="C55" t="str">
        <f>_xlfn.CONCAT(Table7[[#This Row],[SKU]],"-",Table7[[#This Row],[Country]])</f>
        <v>Eden Juicy Apple 01-UAE</v>
      </c>
      <c r="D55" s="2">
        <v>420</v>
      </c>
      <c r="E55" s="21">
        <f t="shared" si="19"/>
        <v>113.4</v>
      </c>
    </row>
    <row r="56" spans="1:5" x14ac:dyDescent="0.3">
      <c r="A56" t="s">
        <v>37</v>
      </c>
      <c r="B56" t="s">
        <v>29</v>
      </c>
      <c r="C56" t="str">
        <f>_xlfn.CONCAT(Table7[[#This Row],[SKU]],"-",Table7[[#This Row],[Country]])</f>
        <v>Oudgasm Tobacco Oud 04-UAE</v>
      </c>
      <c r="D56" s="2">
        <v>551</v>
      </c>
      <c r="E56" s="21">
        <f t="shared" si="19"/>
        <v>148.77000000000001</v>
      </c>
    </row>
    <row r="57" spans="1:5" x14ac:dyDescent="0.3">
      <c r="A57" s="4" t="s">
        <v>38</v>
      </c>
      <c r="B57" t="s">
        <v>29</v>
      </c>
      <c r="C57" t="str">
        <f>_xlfn.CONCAT(Table7[[#This Row],[SKU]],"-",Table7[[#This Row],[Country]])</f>
        <v>Yum Pistachio Gelato 33-UAE</v>
      </c>
      <c r="D57" s="2">
        <v>420</v>
      </c>
      <c r="E57" s="21">
        <f t="shared" si="19"/>
        <v>113.4</v>
      </c>
    </row>
    <row r="58" spans="1:5" x14ac:dyDescent="0.3">
      <c r="A58" s="4" t="s">
        <v>39</v>
      </c>
      <c r="B58" t="s">
        <v>29</v>
      </c>
      <c r="C58" t="str">
        <f>_xlfn.CONCAT(Table7[[#This Row],[SKU]],"-",Table7[[#This Row],[Country]])</f>
        <v>Freedom Musk Santal 34-UAE</v>
      </c>
      <c r="D58" s="2">
        <v>420</v>
      </c>
      <c r="E58" s="21">
        <f t="shared" si="19"/>
        <v>113.4</v>
      </c>
    </row>
    <row r="59" spans="1:5" x14ac:dyDescent="0.3">
      <c r="A59" s="4" t="s">
        <v>40</v>
      </c>
      <c r="B59" t="s">
        <v>29</v>
      </c>
      <c r="C59" t="str">
        <f>_xlfn.CONCAT(Table7[[#This Row],[SKU]],"-",Table7[[#This Row],[Country]])</f>
        <v>Musk 12-UAE</v>
      </c>
      <c r="D59" s="2">
        <v>420</v>
      </c>
      <c r="E59" s="21">
        <f t="shared" si="19"/>
        <v>113.4</v>
      </c>
    </row>
    <row r="63" spans="1:5" x14ac:dyDescent="0.3">
      <c r="A63" t="s">
        <v>2</v>
      </c>
      <c r="B63" s="11" t="s">
        <v>45</v>
      </c>
      <c r="C63" s="11" t="s">
        <v>62</v>
      </c>
    </row>
    <row r="64" spans="1:5" x14ac:dyDescent="0.3">
      <c r="A64" s="24">
        <v>45658</v>
      </c>
      <c r="B64" s="10">
        <v>0.75</v>
      </c>
      <c r="C64" s="10" t="s">
        <v>100</v>
      </c>
    </row>
    <row r="65" spans="1:3" x14ac:dyDescent="0.3">
      <c r="A65" s="24">
        <v>45689</v>
      </c>
      <c r="B65" s="10">
        <v>1.2</v>
      </c>
      <c r="C65" s="10" t="s">
        <v>101</v>
      </c>
    </row>
    <row r="66" spans="1:3" x14ac:dyDescent="0.3">
      <c r="A66" s="24">
        <v>45717</v>
      </c>
      <c r="B66" s="10">
        <v>0.9</v>
      </c>
      <c r="C66" s="10" t="s">
        <v>102</v>
      </c>
    </row>
    <row r="67" spans="1:3" x14ac:dyDescent="0.3">
      <c r="A67" s="24">
        <v>45748</v>
      </c>
      <c r="B67" s="10">
        <v>0.85</v>
      </c>
      <c r="C67" s="10" t="s">
        <v>103</v>
      </c>
    </row>
    <row r="68" spans="1:3" x14ac:dyDescent="0.3">
      <c r="A68" s="24">
        <v>45778</v>
      </c>
      <c r="B68" s="10">
        <v>0.95</v>
      </c>
      <c r="C68" s="10" t="s">
        <v>104</v>
      </c>
    </row>
    <row r="69" spans="1:3" x14ac:dyDescent="0.3">
      <c r="A69" s="24">
        <v>45809</v>
      </c>
      <c r="B69" s="10">
        <v>0.9</v>
      </c>
      <c r="C69" s="10" t="s">
        <v>105</v>
      </c>
    </row>
    <row r="70" spans="1:3" x14ac:dyDescent="0.3">
      <c r="A70" s="24">
        <v>45839</v>
      </c>
      <c r="B70" s="10">
        <v>0.85</v>
      </c>
      <c r="C70" s="10" t="s">
        <v>106</v>
      </c>
    </row>
    <row r="71" spans="1:3" x14ac:dyDescent="0.3">
      <c r="A71" s="24">
        <v>45870</v>
      </c>
      <c r="B71" s="10">
        <v>0.9</v>
      </c>
      <c r="C71" s="10" t="s">
        <v>107</v>
      </c>
    </row>
    <row r="72" spans="1:3" x14ac:dyDescent="0.3">
      <c r="A72" s="24">
        <v>45901</v>
      </c>
      <c r="B72" s="10">
        <v>1</v>
      </c>
      <c r="C72" s="10" t="s">
        <v>108</v>
      </c>
    </row>
    <row r="73" spans="1:3" x14ac:dyDescent="0.3">
      <c r="A73" s="24">
        <v>45931</v>
      </c>
      <c r="B73" s="10">
        <v>1.1000000000000001</v>
      </c>
      <c r="C73" s="10" t="s">
        <v>109</v>
      </c>
    </row>
    <row r="74" spans="1:3" x14ac:dyDescent="0.3">
      <c r="A74" s="24">
        <v>45962</v>
      </c>
      <c r="B74" s="10">
        <v>1.4</v>
      </c>
      <c r="C74" s="10" t="s">
        <v>110</v>
      </c>
    </row>
    <row r="75" spans="1:3" x14ac:dyDescent="0.3">
      <c r="A75" s="24">
        <v>45992</v>
      </c>
      <c r="B75" s="10">
        <v>1.6</v>
      </c>
      <c r="C75" s="10" t="s">
        <v>111</v>
      </c>
    </row>
    <row r="82" spans="1:9" x14ac:dyDescent="0.3">
      <c r="A82" t="s">
        <v>5</v>
      </c>
      <c r="B82" t="s">
        <v>72</v>
      </c>
      <c r="C82" t="s">
        <v>84</v>
      </c>
      <c r="D82" t="s">
        <v>43</v>
      </c>
      <c r="E82" t="s">
        <v>32</v>
      </c>
      <c r="F82" t="s">
        <v>31</v>
      </c>
      <c r="G82" t="s">
        <v>33</v>
      </c>
      <c r="H82" t="s">
        <v>34</v>
      </c>
      <c r="I82" t="s">
        <v>83</v>
      </c>
    </row>
    <row r="83" spans="1:9" x14ac:dyDescent="0.3">
      <c r="A83" t="s">
        <v>35</v>
      </c>
      <c r="B83" t="s">
        <v>28</v>
      </c>
      <c r="C83" t="s">
        <v>85</v>
      </c>
      <c r="D83" s="26">
        <v>0.35</v>
      </c>
      <c r="E83">
        <v>2695000</v>
      </c>
      <c r="F83">
        <v>1225000</v>
      </c>
      <c r="G83">
        <v>588000</v>
      </c>
      <c r="H83">
        <v>392000</v>
      </c>
      <c r="I83" s="21">
        <v>105</v>
      </c>
    </row>
    <row r="84" spans="1:9" x14ac:dyDescent="0.3">
      <c r="A84" t="s">
        <v>35</v>
      </c>
      <c r="B84" t="s">
        <v>27</v>
      </c>
      <c r="C84" t="s">
        <v>86</v>
      </c>
      <c r="D84" s="26">
        <v>0.3</v>
      </c>
      <c r="E84">
        <v>240000</v>
      </c>
      <c r="F84">
        <v>120000</v>
      </c>
      <c r="G84">
        <v>90000</v>
      </c>
      <c r="H84">
        <v>150000</v>
      </c>
      <c r="I84" s="21">
        <v>101.6</v>
      </c>
    </row>
    <row r="85" spans="1:9" x14ac:dyDescent="0.3">
      <c r="A85" t="s">
        <v>35</v>
      </c>
      <c r="B85" t="s">
        <v>29</v>
      </c>
      <c r="C85" t="s">
        <v>87</v>
      </c>
      <c r="D85" s="26">
        <v>0.2</v>
      </c>
      <c r="E85">
        <v>225000</v>
      </c>
      <c r="F85">
        <v>125000</v>
      </c>
      <c r="G85">
        <v>100000</v>
      </c>
      <c r="H85">
        <v>50000</v>
      </c>
      <c r="I85" s="21">
        <v>113.4</v>
      </c>
    </row>
    <row r="86" spans="1:9" x14ac:dyDescent="0.3">
      <c r="A86" t="s">
        <v>36</v>
      </c>
      <c r="B86" t="s">
        <v>28</v>
      </c>
      <c r="C86" t="s">
        <v>88</v>
      </c>
      <c r="D86" s="26">
        <v>0.2</v>
      </c>
      <c r="E86">
        <v>1540000.0000000002</v>
      </c>
      <c r="F86">
        <v>700000</v>
      </c>
      <c r="G86">
        <v>336000</v>
      </c>
      <c r="H86">
        <v>224000</v>
      </c>
      <c r="I86" s="21">
        <v>105</v>
      </c>
    </row>
    <row r="87" spans="1:9" x14ac:dyDescent="0.3">
      <c r="A87" t="s">
        <v>36</v>
      </c>
      <c r="B87" t="s">
        <v>27</v>
      </c>
      <c r="C87" t="s">
        <v>89</v>
      </c>
      <c r="D87" s="26">
        <v>0.22</v>
      </c>
      <c r="E87">
        <v>176000</v>
      </c>
      <c r="F87">
        <v>88000</v>
      </c>
      <c r="G87">
        <v>66000</v>
      </c>
      <c r="H87">
        <v>110000</v>
      </c>
      <c r="I87" s="21">
        <v>101.6</v>
      </c>
    </row>
    <row r="88" spans="1:9" x14ac:dyDescent="0.3">
      <c r="A88" t="s">
        <v>36</v>
      </c>
      <c r="B88" t="s">
        <v>29</v>
      </c>
      <c r="C88" t="s">
        <v>90</v>
      </c>
      <c r="D88" s="26">
        <v>0.15</v>
      </c>
      <c r="E88">
        <v>168750</v>
      </c>
      <c r="F88">
        <v>93750</v>
      </c>
      <c r="G88">
        <v>75000</v>
      </c>
      <c r="H88">
        <v>37500</v>
      </c>
      <c r="I88" s="21">
        <v>113.4</v>
      </c>
    </row>
    <row r="89" spans="1:9" x14ac:dyDescent="0.3">
      <c r="A89" t="s">
        <v>37</v>
      </c>
      <c r="B89" t="s">
        <v>28</v>
      </c>
      <c r="C89" t="s">
        <v>114</v>
      </c>
      <c r="D89" s="26">
        <v>0.18</v>
      </c>
      <c r="E89">
        <v>1386000</v>
      </c>
      <c r="F89">
        <v>630000</v>
      </c>
      <c r="G89">
        <v>302400</v>
      </c>
      <c r="H89">
        <v>201600</v>
      </c>
      <c r="I89" s="21">
        <v>140</v>
      </c>
    </row>
    <row r="90" spans="1:9" x14ac:dyDescent="0.3">
      <c r="A90" t="s">
        <v>37</v>
      </c>
      <c r="B90" t="s">
        <v>27</v>
      </c>
      <c r="C90" t="s">
        <v>115</v>
      </c>
      <c r="D90" s="26">
        <v>0.18</v>
      </c>
      <c r="E90">
        <v>144000</v>
      </c>
      <c r="F90">
        <v>72000</v>
      </c>
      <c r="G90">
        <v>54000</v>
      </c>
      <c r="H90">
        <v>90000</v>
      </c>
      <c r="I90" s="21">
        <v>151.13</v>
      </c>
    </row>
    <row r="91" spans="1:9" x14ac:dyDescent="0.3">
      <c r="A91" t="s">
        <v>37</v>
      </c>
      <c r="B91" t="s">
        <v>29</v>
      </c>
      <c r="C91" t="s">
        <v>116</v>
      </c>
      <c r="D91" s="26">
        <v>0.35</v>
      </c>
      <c r="E91">
        <v>393750</v>
      </c>
      <c r="F91">
        <v>218750</v>
      </c>
      <c r="G91">
        <v>175000</v>
      </c>
      <c r="H91">
        <v>87500</v>
      </c>
      <c r="I91" s="21">
        <v>148.77000000000001</v>
      </c>
    </row>
    <row r="92" spans="1:9" x14ac:dyDescent="0.3">
      <c r="A92" t="s">
        <v>38</v>
      </c>
      <c r="B92" t="s">
        <v>28</v>
      </c>
      <c r="C92" t="s">
        <v>91</v>
      </c>
      <c r="D92" s="26">
        <v>0.12</v>
      </c>
      <c r="E92">
        <v>924000.00000000012</v>
      </c>
      <c r="F92">
        <v>420000</v>
      </c>
      <c r="G92">
        <v>201600</v>
      </c>
      <c r="H92">
        <v>134400</v>
      </c>
      <c r="I92" s="21">
        <v>105</v>
      </c>
    </row>
    <row r="93" spans="1:9" x14ac:dyDescent="0.3">
      <c r="A93" t="s">
        <v>38</v>
      </c>
      <c r="B93" t="s">
        <v>27</v>
      </c>
      <c r="C93" t="s">
        <v>92</v>
      </c>
      <c r="D93" s="26">
        <v>0.13</v>
      </c>
      <c r="E93">
        <v>104000</v>
      </c>
      <c r="F93">
        <v>52000</v>
      </c>
      <c r="G93">
        <v>39000</v>
      </c>
      <c r="H93">
        <v>65000</v>
      </c>
      <c r="I93" s="21">
        <v>101.6</v>
      </c>
    </row>
    <row r="94" spans="1:9" x14ac:dyDescent="0.3">
      <c r="A94" t="s">
        <v>38</v>
      </c>
      <c r="B94" t="s">
        <v>29</v>
      </c>
      <c r="C94" t="s">
        <v>93</v>
      </c>
      <c r="D94" s="26">
        <v>0.12</v>
      </c>
      <c r="E94">
        <v>135000</v>
      </c>
      <c r="F94">
        <v>75000</v>
      </c>
      <c r="G94">
        <v>60000</v>
      </c>
      <c r="H94">
        <v>30000</v>
      </c>
      <c r="I94" s="21">
        <v>113.4</v>
      </c>
    </row>
    <row r="95" spans="1:9" x14ac:dyDescent="0.3">
      <c r="A95" t="s">
        <v>39</v>
      </c>
      <c r="B95" t="s">
        <v>28</v>
      </c>
      <c r="C95" t="s">
        <v>94</v>
      </c>
      <c r="D95" s="26">
        <v>0.1</v>
      </c>
      <c r="E95">
        <v>770000.00000000012</v>
      </c>
      <c r="F95">
        <v>350000</v>
      </c>
      <c r="G95">
        <v>168000</v>
      </c>
      <c r="H95">
        <v>112000</v>
      </c>
      <c r="I95" s="21">
        <v>105</v>
      </c>
    </row>
    <row r="96" spans="1:9" x14ac:dyDescent="0.3">
      <c r="A96" t="s">
        <v>39</v>
      </c>
      <c r="B96" t="s">
        <v>27</v>
      </c>
      <c r="C96" t="s">
        <v>95</v>
      </c>
      <c r="D96" s="26">
        <v>0.1</v>
      </c>
      <c r="E96">
        <v>80000</v>
      </c>
      <c r="F96">
        <v>40000</v>
      </c>
      <c r="G96">
        <v>30000</v>
      </c>
      <c r="H96">
        <v>50000</v>
      </c>
      <c r="I96" s="21">
        <v>101.6</v>
      </c>
    </row>
    <row r="97" spans="1:9" x14ac:dyDescent="0.3">
      <c r="A97" t="s">
        <v>39</v>
      </c>
      <c r="B97" t="s">
        <v>29</v>
      </c>
      <c r="C97" t="s">
        <v>96</v>
      </c>
      <c r="D97" s="26">
        <v>0.1</v>
      </c>
      <c r="E97">
        <v>112500</v>
      </c>
      <c r="F97">
        <v>62500</v>
      </c>
      <c r="G97">
        <v>50000</v>
      </c>
      <c r="H97">
        <v>25000</v>
      </c>
      <c r="I97" s="21">
        <v>113.4</v>
      </c>
    </row>
    <row r="98" spans="1:9" x14ac:dyDescent="0.3">
      <c r="A98" t="s">
        <v>40</v>
      </c>
      <c r="B98" t="s">
        <v>28</v>
      </c>
      <c r="C98" t="s">
        <v>97</v>
      </c>
      <c r="D98" s="26">
        <v>0.05</v>
      </c>
      <c r="E98">
        <v>385000.00000000006</v>
      </c>
      <c r="F98">
        <v>175000</v>
      </c>
      <c r="G98">
        <v>84000</v>
      </c>
      <c r="H98">
        <v>56000</v>
      </c>
      <c r="I98" s="21">
        <v>105</v>
      </c>
    </row>
    <row r="99" spans="1:9" x14ac:dyDescent="0.3">
      <c r="A99" t="s">
        <v>40</v>
      </c>
      <c r="B99" t="s">
        <v>27</v>
      </c>
      <c r="C99" t="s">
        <v>98</v>
      </c>
      <c r="D99" s="26">
        <v>7.0000000000000007E-2</v>
      </c>
      <c r="E99">
        <v>56000.000000000007</v>
      </c>
      <c r="F99">
        <v>28000.000000000004</v>
      </c>
      <c r="G99">
        <v>21000.000000000004</v>
      </c>
      <c r="H99">
        <v>35000</v>
      </c>
      <c r="I99" s="21">
        <v>101.6</v>
      </c>
    </row>
    <row r="100" spans="1:9" x14ac:dyDescent="0.3">
      <c r="A100" t="s">
        <v>40</v>
      </c>
      <c r="B100" t="s">
        <v>29</v>
      </c>
      <c r="C100" t="s">
        <v>99</v>
      </c>
      <c r="D100" s="26">
        <v>0.08</v>
      </c>
      <c r="E100">
        <v>90000</v>
      </c>
      <c r="F100">
        <v>50000</v>
      </c>
      <c r="G100">
        <v>40000</v>
      </c>
      <c r="H100">
        <v>20000</v>
      </c>
      <c r="I100" s="21">
        <v>113.4</v>
      </c>
    </row>
    <row r="105" spans="1:9" x14ac:dyDescent="0.3">
      <c r="A105" s="3" t="s">
        <v>5</v>
      </c>
      <c r="B105" s="3" t="s">
        <v>119</v>
      </c>
      <c r="C105" s="3" t="s">
        <v>120</v>
      </c>
    </row>
    <row r="106" spans="1:9" x14ac:dyDescent="0.3">
      <c r="A106" s="4" t="s">
        <v>35</v>
      </c>
      <c r="B106" s="6">
        <v>0.3</v>
      </c>
      <c r="C106" s="6">
        <v>0.7</v>
      </c>
    </row>
    <row r="107" spans="1:9" x14ac:dyDescent="0.3">
      <c r="A107" s="4" t="s">
        <v>36</v>
      </c>
      <c r="B107" s="6">
        <v>0.31</v>
      </c>
      <c r="C107" s="6">
        <v>0.69</v>
      </c>
    </row>
    <row r="108" spans="1:9" x14ac:dyDescent="0.3">
      <c r="A108" s="2" t="s">
        <v>37</v>
      </c>
      <c r="B108" s="6">
        <v>0.35</v>
      </c>
      <c r="C108" s="6">
        <v>0.65</v>
      </c>
    </row>
    <row r="109" spans="1:9" x14ac:dyDescent="0.3">
      <c r="A109" s="4" t="s">
        <v>38</v>
      </c>
      <c r="B109" s="6">
        <v>0.31</v>
      </c>
      <c r="C109" s="6">
        <v>0.69</v>
      </c>
    </row>
    <row r="110" spans="1:9" x14ac:dyDescent="0.3">
      <c r="A110" s="4" t="s">
        <v>39</v>
      </c>
      <c r="B110" s="6">
        <v>0.32</v>
      </c>
      <c r="C110" s="6">
        <v>0.68</v>
      </c>
    </row>
    <row r="111" spans="1:9" x14ac:dyDescent="0.3">
      <c r="A111" s="4" t="s">
        <v>40</v>
      </c>
      <c r="B111" s="6">
        <v>0.3</v>
      </c>
      <c r="C111" s="6">
        <v>0.7</v>
      </c>
    </row>
    <row r="117" spans="1:4" x14ac:dyDescent="0.3">
      <c r="A117" s="3" t="s">
        <v>46</v>
      </c>
      <c r="B117" s="3" t="s">
        <v>1</v>
      </c>
      <c r="C117" s="3" t="s">
        <v>48</v>
      </c>
      <c r="D117" s="3" t="s">
        <v>49</v>
      </c>
    </row>
    <row r="118" spans="1:4" x14ac:dyDescent="0.3">
      <c r="A118" s="4" t="s">
        <v>50</v>
      </c>
      <c r="B118" s="23">
        <v>45689</v>
      </c>
      <c r="C118" s="4" t="s">
        <v>51</v>
      </c>
      <c r="D118" s="6">
        <v>0.15</v>
      </c>
    </row>
    <row r="119" spans="1:4" x14ac:dyDescent="0.3">
      <c r="A119" s="4" t="s">
        <v>121</v>
      </c>
      <c r="B119" s="23">
        <v>45717</v>
      </c>
      <c r="C119" s="4" t="s">
        <v>122</v>
      </c>
      <c r="D119" s="6">
        <v>0.2</v>
      </c>
    </row>
    <row r="120" spans="1:4" x14ac:dyDescent="0.3">
      <c r="A120" s="4" t="s">
        <v>123</v>
      </c>
      <c r="B120" s="23">
        <v>45809</v>
      </c>
      <c r="C120" s="4" t="s">
        <v>122</v>
      </c>
      <c r="D120" s="6">
        <v>0.15</v>
      </c>
    </row>
    <row r="121" spans="1:4" x14ac:dyDescent="0.3">
      <c r="A121" s="4" t="s">
        <v>52</v>
      </c>
      <c r="B121" s="23">
        <v>45839</v>
      </c>
      <c r="C121" s="4" t="s">
        <v>53</v>
      </c>
      <c r="D121" s="6">
        <v>0.2</v>
      </c>
    </row>
    <row r="122" spans="1:4" x14ac:dyDescent="0.3">
      <c r="A122" s="4" t="s">
        <v>54</v>
      </c>
      <c r="B122" s="23">
        <v>45901</v>
      </c>
      <c r="C122" s="4" t="s">
        <v>51</v>
      </c>
      <c r="D122" s="6">
        <v>0</v>
      </c>
    </row>
    <row r="123" spans="1:4" x14ac:dyDescent="0.3">
      <c r="A123" s="4" t="s">
        <v>56</v>
      </c>
      <c r="B123" s="23">
        <v>45962</v>
      </c>
      <c r="C123" s="4" t="s">
        <v>53</v>
      </c>
      <c r="D123" s="6">
        <v>0.25</v>
      </c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85B7-FBF6-44D2-8659-58E6BAFBDB70}">
  <dimension ref="A1:G70"/>
  <sheetViews>
    <sheetView topLeftCell="A40" workbookViewId="0">
      <selection activeCell="B3" sqref="B3"/>
    </sheetView>
  </sheetViews>
  <sheetFormatPr defaultRowHeight="14.4" x14ac:dyDescent="0.3"/>
  <cols>
    <col min="1" max="1" width="9.77734375" customWidth="1"/>
    <col min="2" max="2" width="26.109375" customWidth="1"/>
    <col min="3" max="3" width="17.21875" customWidth="1"/>
    <col min="4" max="4" width="18.33203125" customWidth="1"/>
  </cols>
  <sheetData>
    <row r="1" spans="1:6" x14ac:dyDescent="0.3">
      <c r="A1" s="3" t="s">
        <v>3</v>
      </c>
      <c r="B1" s="3" t="s">
        <v>71</v>
      </c>
      <c r="C1" s="3" t="s">
        <v>62</v>
      </c>
      <c r="F1" t="s">
        <v>42</v>
      </c>
    </row>
    <row r="2" spans="1:6" x14ac:dyDescent="0.3">
      <c r="A2" s="4" t="s">
        <v>28</v>
      </c>
      <c r="B2" s="4" t="s">
        <v>41</v>
      </c>
      <c r="C2" t="s">
        <v>63</v>
      </c>
    </row>
    <row r="3" spans="1:6" x14ac:dyDescent="0.3">
      <c r="A3" s="4" t="s">
        <v>29</v>
      </c>
      <c r="B3" s="4" t="s">
        <v>64</v>
      </c>
      <c r="C3" s="10" t="s">
        <v>65</v>
      </c>
    </row>
    <row r="4" spans="1:6" x14ac:dyDescent="0.3">
      <c r="A4" s="4" t="s">
        <v>27</v>
      </c>
      <c r="B4" s="4" t="s">
        <v>66</v>
      </c>
      <c r="C4" s="10" t="s">
        <v>67</v>
      </c>
    </row>
    <row r="6" spans="1:6" x14ac:dyDescent="0.3">
      <c r="F6" t="s">
        <v>42</v>
      </c>
    </row>
    <row r="8" spans="1:6" x14ac:dyDescent="0.3">
      <c r="A8" s="3" t="s">
        <v>4</v>
      </c>
      <c r="B8" s="11" t="s">
        <v>68</v>
      </c>
      <c r="C8" s="11" t="s">
        <v>69</v>
      </c>
      <c r="D8" s="11" t="s">
        <v>70</v>
      </c>
      <c r="F8" s="9" t="s">
        <v>60</v>
      </c>
    </row>
    <row r="9" spans="1:6" x14ac:dyDescent="0.3">
      <c r="A9" s="4" t="s">
        <v>32</v>
      </c>
      <c r="B9" s="6">
        <v>0.55000000000000004</v>
      </c>
      <c r="C9" s="6">
        <v>0.4</v>
      </c>
      <c r="D9" s="6">
        <v>0.45</v>
      </c>
    </row>
    <row r="10" spans="1:6" x14ac:dyDescent="0.3">
      <c r="A10" s="4" t="s">
        <v>31</v>
      </c>
      <c r="B10" s="6">
        <v>0.25</v>
      </c>
      <c r="C10" s="6">
        <v>0.2</v>
      </c>
      <c r="D10" s="6">
        <v>0.25</v>
      </c>
      <c r="F10" s="9" t="s">
        <v>61</v>
      </c>
    </row>
    <row r="11" spans="1:6" ht="28.8" x14ac:dyDescent="0.3">
      <c r="A11" s="4" t="s">
        <v>58</v>
      </c>
      <c r="B11" s="6">
        <v>0.12</v>
      </c>
      <c r="C11" s="6">
        <v>0.15</v>
      </c>
      <c r="D11" s="6">
        <v>0.2</v>
      </c>
    </row>
    <row r="12" spans="1:6" ht="28.8" x14ac:dyDescent="0.3">
      <c r="A12" s="4" t="s">
        <v>34</v>
      </c>
      <c r="B12" s="6">
        <v>0.08</v>
      </c>
      <c r="C12" s="6">
        <v>0.25</v>
      </c>
      <c r="D12" s="6">
        <v>0.1</v>
      </c>
    </row>
    <row r="13" spans="1:6" x14ac:dyDescent="0.3">
      <c r="A13" s="7" t="s">
        <v>59</v>
      </c>
      <c r="B13" s="8">
        <v>1</v>
      </c>
      <c r="C13" s="8">
        <v>1</v>
      </c>
      <c r="D13" s="8">
        <v>1</v>
      </c>
    </row>
    <row r="14" spans="1:6" x14ac:dyDescent="0.3">
      <c r="A14" s="7"/>
      <c r="B14" s="8"/>
      <c r="C14" s="8"/>
      <c r="D14" s="8"/>
    </row>
    <row r="16" spans="1:6" ht="28.8" x14ac:dyDescent="0.3">
      <c r="A16" s="3" t="s">
        <v>5</v>
      </c>
      <c r="B16" s="11" t="s">
        <v>68</v>
      </c>
      <c r="C16" s="11" t="s">
        <v>69</v>
      </c>
      <c r="D16" s="3" t="s">
        <v>70</v>
      </c>
    </row>
    <row r="17" spans="1:7" x14ac:dyDescent="0.3">
      <c r="A17" s="4" t="s">
        <v>35</v>
      </c>
      <c r="B17" s="6">
        <v>0.35</v>
      </c>
      <c r="C17" s="6">
        <v>0.3</v>
      </c>
      <c r="D17" s="6">
        <v>0.2</v>
      </c>
    </row>
    <row r="18" spans="1:7" ht="43.2" x14ac:dyDescent="0.3">
      <c r="A18" s="4" t="s">
        <v>36</v>
      </c>
      <c r="B18" s="6">
        <v>0.2</v>
      </c>
      <c r="C18" s="6">
        <v>0.22</v>
      </c>
      <c r="D18" s="6">
        <v>0.15</v>
      </c>
    </row>
    <row r="19" spans="1:7" ht="43.2" x14ac:dyDescent="0.3">
      <c r="A19" s="4" t="s">
        <v>37</v>
      </c>
      <c r="B19" s="6">
        <v>0.18</v>
      </c>
      <c r="C19" s="6">
        <v>0.18</v>
      </c>
      <c r="D19" s="6">
        <v>0.35</v>
      </c>
    </row>
    <row r="20" spans="1:7" ht="43.2" x14ac:dyDescent="0.3">
      <c r="A20" s="4" t="s">
        <v>38</v>
      </c>
      <c r="B20" s="6">
        <v>0.12</v>
      </c>
      <c r="C20" s="6">
        <v>0.13</v>
      </c>
      <c r="D20" s="6">
        <v>0.12</v>
      </c>
    </row>
    <row r="21" spans="1:7" ht="43.2" x14ac:dyDescent="0.3">
      <c r="A21" s="4" t="s">
        <v>39</v>
      </c>
      <c r="B21" s="6">
        <v>0.1</v>
      </c>
      <c r="C21" s="6">
        <v>0.1</v>
      </c>
      <c r="D21" s="6">
        <v>0.1</v>
      </c>
    </row>
    <row r="22" spans="1:7" x14ac:dyDescent="0.3">
      <c r="A22" s="4" t="s">
        <v>40</v>
      </c>
      <c r="B22" s="6">
        <v>0.05</v>
      </c>
      <c r="C22" s="6">
        <v>7.0000000000000007E-2</v>
      </c>
      <c r="D22" s="6">
        <v>0.08</v>
      </c>
    </row>
    <row r="23" spans="1:7" x14ac:dyDescent="0.3">
      <c r="A23" s="7" t="s">
        <v>59</v>
      </c>
      <c r="B23" s="8">
        <v>1</v>
      </c>
      <c r="C23" s="8">
        <v>1</v>
      </c>
      <c r="D23" s="8">
        <v>1</v>
      </c>
    </row>
    <row r="26" spans="1:7" x14ac:dyDescent="0.3">
      <c r="A26" s="3" t="s">
        <v>5</v>
      </c>
      <c r="B26" s="3" t="s">
        <v>7</v>
      </c>
      <c r="C26" t="s">
        <v>76</v>
      </c>
      <c r="D26" t="s">
        <v>77</v>
      </c>
      <c r="G26" t="s">
        <v>78</v>
      </c>
    </row>
    <row r="27" spans="1:7" x14ac:dyDescent="0.3">
      <c r="A27" s="4" t="s">
        <v>35</v>
      </c>
      <c r="B27" s="2">
        <v>105</v>
      </c>
      <c r="C27" s="2">
        <v>80</v>
      </c>
      <c r="D27" s="2">
        <v>420</v>
      </c>
      <c r="G27" s="20"/>
    </row>
    <row r="28" spans="1:7" ht="28.8" x14ac:dyDescent="0.3">
      <c r="A28" s="4" t="s">
        <v>36</v>
      </c>
      <c r="B28" s="2">
        <v>105</v>
      </c>
      <c r="C28" s="2">
        <v>80</v>
      </c>
      <c r="D28" s="2">
        <v>420</v>
      </c>
      <c r="G28" s="20" t="s">
        <v>79</v>
      </c>
    </row>
    <row r="29" spans="1:7" ht="43.2" x14ac:dyDescent="0.3">
      <c r="A29" s="4" t="s">
        <v>37</v>
      </c>
      <c r="B29" s="2">
        <v>140</v>
      </c>
      <c r="C29" s="2">
        <v>119</v>
      </c>
      <c r="D29" s="2">
        <v>551</v>
      </c>
      <c r="G29" s="20" t="s">
        <v>80</v>
      </c>
    </row>
    <row r="30" spans="1:7" ht="43.2" x14ac:dyDescent="0.3">
      <c r="A30" s="4" t="s">
        <v>38</v>
      </c>
      <c r="B30" s="2">
        <v>105</v>
      </c>
      <c r="C30" s="2">
        <v>80</v>
      </c>
      <c r="D30" s="2">
        <v>420</v>
      </c>
    </row>
    <row r="31" spans="1:7" ht="43.2" x14ac:dyDescent="0.3">
      <c r="A31" s="4" t="s">
        <v>39</v>
      </c>
      <c r="B31" s="2">
        <v>105</v>
      </c>
      <c r="C31" s="2">
        <v>80</v>
      </c>
      <c r="D31" s="2">
        <v>420</v>
      </c>
    </row>
    <row r="32" spans="1:7" x14ac:dyDescent="0.3">
      <c r="A32" s="4" t="s">
        <v>40</v>
      </c>
      <c r="B32" s="2">
        <v>105</v>
      </c>
      <c r="C32" s="2">
        <v>80</v>
      </c>
      <c r="D32" s="2">
        <v>420</v>
      </c>
    </row>
    <row r="38" spans="1:3" x14ac:dyDescent="0.3">
      <c r="A38" s="11" t="s">
        <v>1</v>
      </c>
      <c r="B38" s="11" t="s">
        <v>45</v>
      </c>
      <c r="C38" s="11" t="s">
        <v>62</v>
      </c>
    </row>
    <row r="39" spans="1:3" x14ac:dyDescent="0.3">
      <c r="A39" s="24">
        <v>45658</v>
      </c>
      <c r="B39" s="10">
        <v>0.75</v>
      </c>
      <c r="C39" s="10" t="s">
        <v>100</v>
      </c>
    </row>
    <row r="40" spans="1:3" x14ac:dyDescent="0.3">
      <c r="A40" s="24">
        <v>45689</v>
      </c>
      <c r="B40" s="10">
        <v>1.2</v>
      </c>
      <c r="C40" s="10" t="s">
        <v>101</v>
      </c>
    </row>
    <row r="41" spans="1:3" x14ac:dyDescent="0.3">
      <c r="A41" s="24">
        <v>45717</v>
      </c>
      <c r="B41" s="10">
        <v>0.9</v>
      </c>
      <c r="C41" s="10" t="s">
        <v>102</v>
      </c>
    </row>
    <row r="42" spans="1:3" x14ac:dyDescent="0.3">
      <c r="A42" s="24">
        <v>45748</v>
      </c>
      <c r="B42" s="10">
        <v>0.85</v>
      </c>
      <c r="C42" s="10" t="s">
        <v>103</v>
      </c>
    </row>
    <row r="43" spans="1:3" x14ac:dyDescent="0.3">
      <c r="A43" s="24">
        <v>45778</v>
      </c>
      <c r="B43" s="10">
        <v>0.95</v>
      </c>
      <c r="C43" s="10" t="s">
        <v>104</v>
      </c>
    </row>
    <row r="44" spans="1:3" x14ac:dyDescent="0.3">
      <c r="A44" s="24">
        <v>45809</v>
      </c>
      <c r="B44" s="10">
        <v>0.9</v>
      </c>
      <c r="C44" s="10" t="s">
        <v>105</v>
      </c>
    </row>
    <row r="45" spans="1:3" x14ac:dyDescent="0.3">
      <c r="A45" s="24">
        <v>45839</v>
      </c>
      <c r="B45" s="10">
        <v>0.85</v>
      </c>
      <c r="C45" s="10" t="s">
        <v>106</v>
      </c>
    </row>
    <row r="46" spans="1:3" x14ac:dyDescent="0.3">
      <c r="A46" s="24">
        <v>45870</v>
      </c>
      <c r="B46" s="10">
        <v>0.9</v>
      </c>
      <c r="C46" s="10" t="s">
        <v>107</v>
      </c>
    </row>
    <row r="47" spans="1:3" x14ac:dyDescent="0.3">
      <c r="A47" s="24">
        <v>45901</v>
      </c>
      <c r="B47" s="10">
        <v>1</v>
      </c>
      <c r="C47" s="10" t="s">
        <v>108</v>
      </c>
    </row>
    <row r="48" spans="1:3" x14ac:dyDescent="0.3">
      <c r="A48" s="24">
        <v>45931</v>
      </c>
      <c r="B48" s="10">
        <v>1.1000000000000001</v>
      </c>
      <c r="C48" s="10" t="s">
        <v>109</v>
      </c>
    </row>
    <row r="49" spans="1:4" x14ac:dyDescent="0.3">
      <c r="A49" s="24">
        <v>45962</v>
      </c>
      <c r="B49" s="10">
        <v>1.4</v>
      </c>
      <c r="C49" s="10" t="s">
        <v>110</v>
      </c>
    </row>
    <row r="50" spans="1:4" x14ac:dyDescent="0.3">
      <c r="A50" s="24">
        <v>45992</v>
      </c>
      <c r="B50" s="10">
        <v>1.6</v>
      </c>
      <c r="C50" s="10" t="s">
        <v>111</v>
      </c>
    </row>
    <row r="55" spans="1:4" x14ac:dyDescent="0.3">
      <c r="A55" s="3" t="s">
        <v>46</v>
      </c>
      <c r="B55" s="3" t="s">
        <v>47</v>
      </c>
      <c r="C55" s="3" t="s">
        <v>48</v>
      </c>
      <c r="D55" s="3" t="s">
        <v>49</v>
      </c>
    </row>
    <row r="56" spans="1:4" ht="28.8" x14ac:dyDescent="0.3">
      <c r="A56" s="4" t="s">
        <v>50</v>
      </c>
      <c r="B56" s="4" t="s">
        <v>16</v>
      </c>
      <c r="C56" s="4" t="s">
        <v>51</v>
      </c>
      <c r="D56" s="6">
        <v>0.15</v>
      </c>
    </row>
    <row r="57" spans="1:4" ht="28.8" x14ac:dyDescent="0.3">
      <c r="A57" s="4" t="s">
        <v>52</v>
      </c>
      <c r="B57" s="4" t="s">
        <v>21</v>
      </c>
      <c r="C57" s="4" t="s">
        <v>53</v>
      </c>
      <c r="D57" s="6">
        <v>0.2</v>
      </c>
    </row>
    <row r="58" spans="1:4" ht="28.8" x14ac:dyDescent="0.3">
      <c r="A58" s="4" t="s">
        <v>54</v>
      </c>
      <c r="B58" s="4" t="s">
        <v>23</v>
      </c>
      <c r="C58" s="4" t="s">
        <v>51</v>
      </c>
      <c r="D58" s="4" t="s">
        <v>55</v>
      </c>
    </row>
    <row r="59" spans="1:4" ht="28.8" x14ac:dyDescent="0.3">
      <c r="A59" s="4" t="s">
        <v>56</v>
      </c>
      <c r="B59" s="4" t="s">
        <v>25</v>
      </c>
      <c r="C59" s="4" t="s">
        <v>53</v>
      </c>
      <c r="D59" s="6">
        <v>0.25</v>
      </c>
    </row>
    <row r="64" spans="1:4" x14ac:dyDescent="0.3">
      <c r="A64" s="3" t="s">
        <v>46</v>
      </c>
      <c r="B64" s="3" t="s">
        <v>1</v>
      </c>
      <c r="C64" s="3" t="s">
        <v>48</v>
      </c>
      <c r="D64" s="3" t="s">
        <v>49</v>
      </c>
    </row>
    <row r="65" spans="1:4" ht="28.8" x14ac:dyDescent="0.3">
      <c r="A65" s="4" t="s">
        <v>50</v>
      </c>
      <c r="B65" s="23">
        <v>45689</v>
      </c>
      <c r="C65" s="4" t="s">
        <v>51</v>
      </c>
      <c r="D65" s="6">
        <v>0.15</v>
      </c>
    </row>
    <row r="66" spans="1:4" x14ac:dyDescent="0.3">
      <c r="A66" s="4" t="s">
        <v>121</v>
      </c>
      <c r="B66" s="23">
        <v>45717</v>
      </c>
      <c r="C66" s="4" t="s">
        <v>122</v>
      </c>
      <c r="D66" s="6">
        <v>0.2</v>
      </c>
    </row>
    <row r="67" spans="1:4" ht="28.8" x14ac:dyDescent="0.3">
      <c r="A67" s="4" t="s">
        <v>123</v>
      </c>
      <c r="B67" s="23">
        <v>45809</v>
      </c>
      <c r="C67" s="4" t="s">
        <v>122</v>
      </c>
      <c r="D67" s="6">
        <v>0.15</v>
      </c>
    </row>
    <row r="68" spans="1:4" ht="28.8" x14ac:dyDescent="0.3">
      <c r="A68" s="4" t="s">
        <v>52</v>
      </c>
      <c r="B68" s="23">
        <v>45839</v>
      </c>
      <c r="C68" s="4" t="s">
        <v>53</v>
      </c>
      <c r="D68" s="6">
        <v>0.2</v>
      </c>
    </row>
    <row r="69" spans="1:4" ht="28.8" x14ac:dyDescent="0.3">
      <c r="A69" s="4" t="s">
        <v>54</v>
      </c>
      <c r="B69" s="23">
        <v>45901</v>
      </c>
      <c r="C69" s="4" t="s">
        <v>51</v>
      </c>
      <c r="D69" s="6">
        <v>0</v>
      </c>
    </row>
    <row r="70" spans="1:4" ht="28.8" x14ac:dyDescent="0.3">
      <c r="A70" s="4" t="s">
        <v>56</v>
      </c>
      <c r="B70" s="23">
        <v>45962</v>
      </c>
      <c r="C70" s="4" t="s">
        <v>53</v>
      </c>
      <c r="D70" s="6">
        <v>0.25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EFDD-1488-4120-9553-0F8F78486937}">
  <dimension ref="A1"/>
  <sheetViews>
    <sheetView workbookViewId="0"/>
  </sheetViews>
  <sheetFormatPr defaultRowHeight="14.4" x14ac:dyDescent="0.3"/>
  <sheetData>
    <row r="1" spans="1:1" x14ac:dyDescent="0.3">
      <c r="A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FB3E-91E3-48EC-92D0-DC6E8981D7DC}">
  <dimension ref="A1:E11"/>
  <sheetViews>
    <sheetView workbookViewId="0">
      <selection activeCell="E11" sqref="E11"/>
    </sheetView>
  </sheetViews>
  <sheetFormatPr defaultRowHeight="14.4" x14ac:dyDescent="0.3"/>
  <cols>
    <col min="4" max="4" width="10.33203125" bestFit="1" customWidth="1"/>
  </cols>
  <sheetData>
    <row r="1" spans="1:5" x14ac:dyDescent="0.3">
      <c r="A1" t="s">
        <v>28</v>
      </c>
    </row>
    <row r="2" spans="1:5" x14ac:dyDescent="0.3">
      <c r="A2" t="s">
        <v>27</v>
      </c>
    </row>
    <row r="3" spans="1:5" x14ac:dyDescent="0.3">
      <c r="A3" t="s">
        <v>29</v>
      </c>
    </row>
    <row r="6" spans="1:5" x14ac:dyDescent="0.3">
      <c r="A6" t="s">
        <v>30</v>
      </c>
    </row>
    <row r="7" spans="1:5" x14ac:dyDescent="0.3">
      <c r="A7" t="s">
        <v>31</v>
      </c>
    </row>
    <row r="8" spans="1:5" x14ac:dyDescent="0.3">
      <c r="A8" t="s">
        <v>32</v>
      </c>
    </row>
    <row r="9" spans="1:5" x14ac:dyDescent="0.3">
      <c r="A9" t="s">
        <v>33</v>
      </c>
    </row>
    <row r="10" spans="1:5" x14ac:dyDescent="0.3">
      <c r="A10" t="s">
        <v>34</v>
      </c>
    </row>
    <row r="11" spans="1:5" x14ac:dyDescent="0.3">
      <c r="D11" s="27">
        <v>45658</v>
      </c>
      <c r="E11">
        <f>IF(D11=1-1-2025,1,0)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Sheet3</vt:lpstr>
      <vt:lpstr>MAIN REFERENCE</vt:lpstr>
      <vt:lpstr>Links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Sowndarrya S R</dc:creator>
  <cp:lastModifiedBy>Sowndarrya Srinivasan</cp:lastModifiedBy>
  <dcterms:created xsi:type="dcterms:W3CDTF">2015-06-05T18:17:20Z</dcterms:created>
  <dcterms:modified xsi:type="dcterms:W3CDTF">2026-06-25T16:51:36Z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71912304-b630-4602-a2b1-1e690cf8ee5d</vt:lpwstr>
  </property>
</Properties>
</file>